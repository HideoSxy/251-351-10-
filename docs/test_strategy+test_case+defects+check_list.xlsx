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un\251-351-10-\"/>
    </mc:Choice>
  </mc:AlternateContent>
  <xr:revisionPtr revIDLastSave="0" documentId="8_{A94F2083-39CB-49E0-999F-053213F1FD8B}" xr6:coauthVersionLast="47" xr6:coauthVersionMax="47" xr10:uidLastSave="{00000000-0000-0000-0000-000000000000}"/>
  <bookViews>
    <workbookView xWindow="8085" yWindow="1920" windowWidth="26670" windowHeight="17955" xr2:uid="{00000000-000D-0000-FFFF-FFFF00000000}"/>
  </bookViews>
  <sheets>
    <sheet name="Тест-план" sheetId="1" r:id="rId1"/>
    <sheet name="Чек-лист + Дефекты" sheetId="2" r:id="rId2"/>
    <sheet name="Тест-кейс 1" sheetId="3" r:id="rId3"/>
    <sheet name="Тест-кейс 2" sheetId="4" r:id="rId4"/>
    <sheet name="Дефект" sheetId="5" r:id="rId5"/>
    <sheet name="Отчет" sheetId="6" r:id="rId6"/>
  </sheets>
  <definedNames>
    <definedName name="_xlnm._FilterDatabase" localSheetId="1" hidden="1">'Чек-лист + Дефекты'!$A$1:$F$148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jA8JlpfF/vIsy1mceRgGEgNbDJ1A=="/>
    </ext>
  </extLst>
</workbook>
</file>

<file path=xl/calcChain.xml><?xml version="1.0" encoding="utf-8"?>
<calcChain xmlns="http://schemas.openxmlformats.org/spreadsheetml/2006/main">
  <c r="A15" i="3" l="1"/>
  <c r="A16" i="3" s="1"/>
  <c r="A17" i="3" s="1"/>
  <c r="A18" i="3" s="1"/>
  <c r="A13" i="4"/>
  <c r="F10" i="4"/>
  <c r="E10" i="4"/>
  <c r="D10" i="4"/>
  <c r="A10" i="4"/>
  <c r="A13" i="3"/>
  <c r="A14" i="3" s="1"/>
  <c r="F10" i="3"/>
  <c r="E10" i="3"/>
  <c r="D10" i="3"/>
  <c r="E14" i="1"/>
  <c r="H10" i="4" l="1"/>
  <c r="A10" i="3"/>
  <c r="H10" i="3"/>
</calcChain>
</file>

<file path=xl/sharedStrings.xml><?xml version="1.0" encoding="utf-8"?>
<sst xmlns="http://schemas.openxmlformats.org/spreadsheetml/2006/main" count="343" uniqueCount="239">
  <si>
    <t>Тест-план по системному тестированию TextFilter</t>
  </si>
  <si>
    <t>Цели доработки</t>
  </si>
  <si>
    <t>Обеспечение корректного функционирования утилиты по работе со списками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</si>
  <si>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</si>
  <si>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</si>
  <si>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JiraTask</t>
  </si>
  <si>
    <t>Область функционала</t>
  </si>
  <si>
    <t>Прио</t>
  </si>
  <si>
    <t>Стратегия тестирования</t>
  </si>
  <si>
    <t>h</t>
  </si>
  <si>
    <t>Риски</t>
  </si>
  <si>
    <t>Статус</t>
  </si>
  <si>
    <t>Аналитик</t>
  </si>
  <si>
    <t>Разработчик</t>
  </si>
  <si>
    <t>Тестировщик</t>
  </si>
  <si>
    <t>FSD</t>
  </si>
  <si>
    <t>протестирован, есть ошибки</t>
  </si>
  <si>
    <t>Итого</t>
  </si>
  <si>
    <t>Тест-кейсы</t>
  </si>
  <si>
    <t>Результат</t>
  </si>
  <si>
    <t>Дефект</t>
  </si>
  <si>
    <t>№</t>
  </si>
  <si>
    <t>Наименование</t>
  </si>
  <si>
    <t>Важность</t>
  </si>
  <si>
    <t>Trivial</t>
  </si>
  <si>
    <t>Minor</t>
  </si>
  <si>
    <t>Critical</t>
  </si>
  <si>
    <t>High</t>
  </si>
  <si>
    <t xml:space="preserve"> </t>
  </si>
  <si>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</si>
  <si>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</si>
  <si>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</si>
  <si>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</si>
  <si>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</si>
  <si>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</si>
  <si>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</si>
  <si>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</si>
  <si>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</si>
  <si>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</si>
  <si>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</si>
  <si>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</si>
  <si>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</si>
  <si>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</si>
  <si>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</si>
  <si>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</si>
  <si>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</si>
  <si>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</si>
  <si>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</si>
  <si>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</si>
  <si>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Название</t>
  </si>
  <si>
    <t>№ тест-кейса</t>
  </si>
  <si>
    <t xml:space="preserve">Проект </t>
  </si>
  <si>
    <t xml:space="preserve">Компонент </t>
  </si>
  <si>
    <t xml:space="preserve">Статус </t>
  </si>
  <si>
    <t xml:space="preserve">Номер версии </t>
  </si>
  <si>
    <t>Важность:</t>
  </si>
  <si>
    <t>Приоритет:</t>
  </si>
  <si>
    <t>Medium</t>
  </si>
  <si>
    <t>Blocker</t>
  </si>
  <si>
    <t>Opened</t>
  </si>
  <si>
    <t>In progress</t>
  </si>
  <si>
    <t>Major</t>
  </si>
  <si>
    <t>Low</t>
  </si>
  <si>
    <t>Retest</t>
  </si>
  <si>
    <t>Fixed</t>
  </si>
  <si>
    <t>Closed</t>
  </si>
  <si>
    <t xml:space="preserve">Назначен на </t>
  </si>
  <si>
    <t>Автор</t>
  </si>
  <si>
    <t>Описание</t>
  </si>
  <si>
    <t>Вложения</t>
  </si>
  <si>
    <t>Отчет о системном тестировании TextFilter</t>
  </si>
  <si>
    <t>Версия</t>
  </si>
  <si>
    <t>1.0</t>
  </si>
  <si>
    <t>Сроки проведения тестирования</t>
  </si>
  <si>
    <t>Участники процесса</t>
  </si>
  <si>
    <t>к-во запланированных тестов</t>
  </si>
  <si>
    <t>к-во выполненных тестов</t>
  </si>
  <si>
    <t>к-во успешно выполненных тестов</t>
  </si>
  <si>
    <t>к-во неуспешно выполненных тестов</t>
  </si>
  <si>
    <t>к-во зарегистрированных ошибок</t>
  </si>
  <si>
    <t>приоритета Critical</t>
  </si>
  <si>
    <t>приоритета High</t>
  </si>
  <si>
    <t>приоритета Medium</t>
  </si>
  <si>
    <t>приоритета Minor</t>
  </si>
  <si>
    <t>приоритета Trivial</t>
  </si>
  <si>
    <t>Заключение:</t>
  </si>
  <si>
    <r>
      <t xml:space="preserve">Система </t>
    </r>
    <r>
      <rPr>
        <b/>
        <sz val="11"/>
        <color rgb="FF000000"/>
        <rFont val="Calibri"/>
      </rPr>
      <t>не рекомендуется</t>
    </r>
    <r>
      <rPr>
        <sz val="11"/>
        <color rgb="FF000000"/>
        <rFont val="Calibri"/>
      </rPr>
      <t xml:space="preserve"> для установки в прод т к не достигнуты метрики окончания тестирования (не исправлены все дефекты приоритета Critical)</t>
    </r>
  </si>
  <si>
    <t>Авторизация и регистрация</t>
  </si>
  <si>
    <t>Механизм ролей</t>
  </si>
  <si>
    <t>Алгоритмы</t>
  </si>
  <si>
    <t>Сетевое взаимодействие и GUI</t>
  </si>
  <si>
    <t>Проверить корректность создания учётных записей и входа в систему.</t>
  </si>
  <si>
    <t>Проверить разграничение прав доступа между обычными пользователями и администраторами.</t>
  </si>
  <si>
    <t>Проверить корректность работы вычислительных алгоритмов.</t>
  </si>
  <si>
    <t xml:space="preserve">Проверить стабильность работы клиент-серверной связки и пользовательского интерфейса.
</t>
  </si>
  <si>
    <t>Стешин Алексей</t>
  </si>
  <si>
    <t>Артамонов Владимир</t>
  </si>
  <si>
    <t>Вся команда</t>
  </si>
  <si>
    <t>none</t>
  </si>
  <si>
    <t>https://github.com/HideoSxy/251-351-10-</t>
  </si>
  <si>
    <t>Регистрация с уникальным логином и паролем</t>
  </si>
  <si>
    <t>Регистрация с логином, содержащим "admin"</t>
  </si>
  <si>
    <t>Регистрация с логином, не содержащим "admin"</t>
  </si>
  <si>
    <t>Регистрация с уже существующим логином</t>
  </si>
  <si>
    <t>Регистрация с пустым логином</t>
  </si>
  <si>
    <t>Регистрация с пустым паролем</t>
  </si>
  <si>
    <t>Регистрация с логином из спецсимволов (!@#$%)</t>
  </si>
  <si>
    <t>Вход с верным логином и паролем</t>
  </si>
  <si>
    <t>Вход с верным логином и неверным паролем</t>
  </si>
  <si>
    <t>Вход с несуществующим логином</t>
  </si>
  <si>
    <t>Вход с пустым логином</t>
  </si>
  <si>
    <t>Вход с пустым паролем</t>
  </si>
  <si>
    <t>Вход под пользователем с ролью user</t>
  </si>
  <si>
    <t>Вход под пользователем с ролью admin</t>
  </si>
  <si>
    <t>Вход после перезапуска сервера</t>
  </si>
  <si>
    <t>Вход под user — кнопка "Список пользователей"</t>
  </si>
  <si>
    <t>Вход под admin — кнопка "Список пользователей"</t>
  </si>
  <si>
    <t>Выход из аккаунта и вход под другой ролью</t>
  </si>
  <si>
    <t>Отображение текущей роли в интерфейсе</t>
  </si>
  <si>
    <t>Отправка команды sort из-под user через отладчик</t>
  </si>
  <si>
    <t>Отправка команды admin_test из-под user через отладчик</t>
  </si>
  <si>
    <t>Отображение списка после регистрации новых пользователей</t>
  </si>
  <si>
    <t>Хэширование строки "hello"</t>
  </si>
  <si>
    <t>SHA-384</t>
  </si>
  <si>
    <t>Интерфейс и отображение</t>
  </si>
  <si>
    <t>Список пользователей (админ)</t>
  </si>
  <si>
    <t>Доступ к админ-командам</t>
  </si>
  <si>
    <t>Регистрация нового пользователя</t>
  </si>
  <si>
    <t>Авторизация</t>
  </si>
  <si>
    <t>Хэширование пустой строки</t>
  </si>
  <si>
    <t>Хэширование строки на кириллице</t>
  </si>
  <si>
    <t>Длина выходной строки</t>
  </si>
  <si>
    <t>Повторный вызов с теми же данными</t>
  </si>
  <si>
    <t>Метод хорд</t>
  </si>
  <si>
    <t>chord&amp;1,3,0.001</t>
  </si>
  <si>
    <t>chord&amp;1.5,2.5,0.000001</t>
  </si>
  <si>
    <t>chord&amp;0,1,0.001 (интервал без корня)</t>
  </si>
  <si>
    <t>chord&amp;2,5,0.001 (корень на границе a)</t>
  </si>
  <si>
    <t>Роль user</t>
  </si>
  <si>
    <t>Ошибка: пользователь уже существует</t>
  </si>
  <si>
    <t>Ошибка валидации</t>
  </si>
  <si>
    <t>Успешная регистрация (если не запрещено)</t>
  </si>
  <si>
    <t>Успешный вход</t>
  </si>
  <si>
    <t>Роль отображается в интерфейсе, админ-кнопки скрыты</t>
  </si>
  <si>
    <t>Данные сохранились, вход выполняется</t>
  </si>
  <si>
    <t>Успешная регистрация, сообщение REGISTER_OK</t>
  </si>
  <si>
    <t>Автоматическое назначение роли admin</t>
  </si>
  <si>
    <t>Ошибка AUTH_ERR</t>
  </si>
  <si>
    <t>Кнопка скрыта или неактивна</t>
  </si>
  <si>
    <t>Кнопка видна и активна</t>
  </si>
  <si>
    <t>Интерфейс обновляется согласно новой роли</t>
  </si>
  <si>
    <t>Роль видна пользователю (например, в статусной строке)</t>
  </si>
  <si>
    <t>User: попытка вызвать список пользователей</t>
  </si>
  <si>
    <t>Невозможно вызвать</t>
  </si>
  <si>
    <t>Сервер возвращает ошибку доступа</t>
  </si>
  <si>
    <t>Все пользователи отображаются (логин, роль)</t>
  </si>
  <si>
    <t>Совпадение с эталоном</t>
  </si>
  <si>
    <t>Корректный хэш пустой строки</t>
  </si>
  <si>
    <t xml:space="preserve">Корректный хэш </t>
  </si>
  <si>
    <t>Корректный хэш</t>
  </si>
  <si>
    <t>Выполняется</t>
  </si>
  <si>
    <t>96 шестнадцатеричных символов</t>
  </si>
  <si>
    <t>Результат одинаковый (детерминированность)</t>
  </si>
  <si>
    <t>Корень ~2.0, итерации &lt; 10</t>
  </si>
  <si>
    <t>Корень ~2.0, точность достигнута</t>
  </si>
  <si>
    <t>Ошибка: функция имеет одинаковые знаки</t>
  </si>
  <si>
    <t>Корень найден</t>
  </si>
  <si>
    <t>chord&amp;1,3,0.000000001 (очень высокая точность)</t>
  </si>
  <si>
    <t>Корень найден, итераций больше</t>
  </si>
  <si>
    <t>chord&amp;1,3,0 (epsilon = 0)</t>
  </si>
  <si>
    <t>Ошибка: epsilon должен быть положительным</t>
  </si>
  <si>
    <t>chord&amp;3,1,0.001 (a &gt; b)</t>
  </si>
  <si>
    <t>Ошибка: a должна быть меньше b</t>
  </si>
  <si>
    <t>chord&amp;a,b,eps (нечисловые параметры)</t>
  </si>
  <si>
    <t>Ошибка: invalid parameters</t>
  </si>
  <si>
    <t>Стеганография</t>
  </si>
  <si>
    <t>Внедрение короткого сообщения в PNG</t>
  </si>
  <si>
    <t>Успешно, сообщение внедрено</t>
  </si>
  <si>
    <t>Извлечение сообщения из того же PNG</t>
  </si>
  <si>
    <t>Сообщение извлечено, совпадает с исходным</t>
  </si>
  <si>
    <t>Внедрение длинного сообщения (почти до предела)</t>
  </si>
  <si>
    <t>Успешно или ошибка "слишком большое сообщение"</t>
  </si>
  <si>
    <t>Внедрение сообщения в не-PNG файл (jpg, txt)</t>
  </si>
  <si>
    <t>Ошибка: неверный формат</t>
  </si>
  <si>
    <t>Внедрение в несуществующий файл</t>
  </si>
  <si>
    <t>Ошибка: файл не найден</t>
  </si>
  <si>
    <t>Визуальное сравнение исходного и результирующего изображений</t>
  </si>
  <si>
    <t>Различия незаметны глазу</t>
  </si>
  <si>
    <t>Извлечение из чистого PNG (без сообщения)</t>
  </si>
  <si>
    <t>Пустая строка или ошибка</t>
  </si>
  <si>
    <t>Извлечение из PNG, сохранённого без сообщения (другой редактор)</t>
  </si>
  <si>
    <t>Нет сообщения</t>
  </si>
  <si>
    <t>Русский текст внедрение/извлечение</t>
  </si>
  <si>
    <t>Корректно сохраняется и восстанавливается</t>
  </si>
  <si>
    <t>Запуск клиента при работающем сервере</t>
  </si>
  <si>
    <t>Успешное подключение</t>
  </si>
  <si>
    <t>Запуск клиента при неработающем сервере</t>
  </si>
  <si>
    <t>Ошибка подключения, сообщение пользователю</t>
  </si>
  <si>
    <t>Потеря соединения во время работы (сервер остановлен)</t>
  </si>
  <si>
    <t>Уведомление пользователя, попытка переподключения</t>
  </si>
  <si>
    <t>Подключение по неверному порту</t>
  </si>
  <si>
    <t>Ошибка подключения</t>
  </si>
  <si>
    <t>Множественные клиенты одновременно</t>
  </si>
  <si>
    <t>Сервер обрабатывает всех корректно</t>
  </si>
  <si>
    <t>Отправка и получение команд</t>
  </si>
  <si>
    <t>Подключение к серверу</t>
  </si>
  <si>
    <t>Отправка всех типов команд из GUI</t>
  </si>
  <si>
    <t>Команды отправляются, ответы приходят</t>
  </si>
  <si>
    <t>Очень длинная команда (большой payload)</t>
  </si>
  <si>
    <t>Не обрезается, обрабатывается корректно</t>
  </si>
  <si>
    <t>Некорректная команда (неизвестная функция)</t>
  </si>
  <si>
    <t>Сервер возвращает ошибку</t>
  </si>
  <si>
    <t>Команда без параметров (где они нужны)</t>
  </si>
  <si>
    <t>Ошибка: invalid format</t>
  </si>
  <si>
    <t>Команда с лишними параметрами</t>
  </si>
  <si>
    <t>Лишние игнорируются или ошибка</t>
  </si>
  <si>
    <t>Хэширование со спецсимволами (!@#$%^&amp;*())</t>
  </si>
  <si>
    <t>Пустая строка считывается как отсутствие текста</t>
  </si>
  <si>
    <t>Роль отображается в интерфейсе, админ-кнопки есть</t>
  </si>
  <si>
    <t>Уведомление отсутствует</t>
  </si>
  <si>
    <t>Тест-кейс для проверки работы алгоритма шифрования sha-384</t>
  </si>
  <si>
    <t>Запущенный сервер, авторизованный пользователь</t>
  </si>
  <si>
    <t>Верный хэш</t>
  </si>
  <si>
    <t>SHA384_ERR: no input text</t>
  </si>
  <si>
    <t>Хэширование длинной строки (100+ символов)</t>
  </si>
  <si>
    <t>Выполнилось</t>
  </si>
  <si>
    <t>Тот же результат</t>
  </si>
  <si>
    <t>Выполнен</t>
  </si>
  <si>
    <t>протестирован, нет ошибок</t>
  </si>
  <si>
    <t>Тест-кейс для проверки корректной обработки регистрации нового пользователя</t>
  </si>
  <si>
    <t>Успешная регистрация</t>
  </si>
  <si>
    <t>Роль admin назначена</t>
  </si>
  <si>
    <t>Роль user назначена</t>
  </si>
  <si>
    <t>REGISTER_ERR: User already exists</t>
  </si>
  <si>
    <t>REGISTER_ERR: Login or password cannot be empty</t>
  </si>
  <si>
    <t>Запущенный сервер</t>
  </si>
  <si>
    <t>251-351-10</t>
  </si>
  <si>
    <t>Клепнев Дмитрий</t>
  </si>
  <si>
    <t xml:space="preserve">Шаги воспроизведения 
1. Попытка хэшировать пустую строку
Ожидаемый результат:
 &lt;хэш пустой строки&gt;
Наблюдаемый результат:
SHA384_ERR: no input text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</si>
</sst>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23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b/>
      <sz val="18"/>
      <color rgb="FF000000"/>
      <name val="Calibri"/>
    </font>
    <font>
      <u/>
      <sz val="11"/>
      <color rgb="FF1F497D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00B050"/>
      <name val="Calibri"/>
    </font>
    <font>
      <sz val="11"/>
      <name val="Calibri"/>
    </font>
    <font>
      <sz val="10"/>
      <name val="Times New Roman"/>
    </font>
    <font>
      <b/>
      <sz val="10"/>
      <name val="Times New Roman"/>
    </font>
    <font>
      <sz val="10"/>
      <color rgb="FF000000"/>
      <name val="Times New Roman"/>
    </font>
    <font>
      <u/>
      <sz val="11"/>
      <color theme="10"/>
      <name val="Calibri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rgb="FF00B05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92D050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24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0" fillId="2" borderId="1" xfId="0" applyFill="1" applyBorder="1" applyAlignment="1">
      <alignment horizontal="left"/>
    </xf>
    <xf numFmtId="0" fontId="5" fillId="3" borderId="2" xfId="0" applyFont="1" applyFill="1" applyBorder="1" applyAlignment="1">
      <alignment wrapText="1"/>
    </xf>
    <xf numFmtId="0" fontId="0" fillId="0" borderId="2" xfId="0" applyBorder="1"/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0" fontId="0" fillId="2" borderId="3" xfId="0" applyFill="1" applyBorder="1" applyAlignment="1">
      <alignment wrapText="1"/>
    </xf>
    <xf numFmtId="0" fontId="7" fillId="2" borderId="5" xfId="0" applyFont="1" applyFill="1" applyBorder="1"/>
    <xf numFmtId="0" fontId="0" fillId="2" borderId="2" xfId="0" applyFill="1" applyBorder="1" applyAlignment="1">
      <alignment vertical="top" wrapText="1"/>
    </xf>
    <xf numFmtId="0" fontId="6" fillId="2" borderId="2" xfId="0" applyFont="1" applyFill="1" applyBorder="1" applyAlignment="1">
      <alignment horizontal="left" wrapText="1"/>
    </xf>
    <xf numFmtId="0" fontId="6" fillId="2" borderId="8" xfId="0" applyFont="1" applyFill="1" applyBorder="1" applyAlignment="1">
      <alignment horizontal="left" wrapText="1"/>
    </xf>
    <xf numFmtId="0" fontId="6" fillId="2" borderId="9" xfId="0" applyFont="1" applyFill="1" applyBorder="1" applyAlignment="1">
      <alignment horizontal="left" wrapText="1"/>
    </xf>
    <xf numFmtId="0" fontId="0" fillId="2" borderId="2" xfId="0" applyFill="1" applyBorder="1"/>
    <xf numFmtId="0" fontId="0" fillId="2" borderId="1" xfId="0" applyFill="1" applyBorder="1" applyAlignment="1">
      <alignment wrapText="1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4" borderId="2" xfId="0" applyFont="1" applyFill="1" applyBorder="1"/>
    <xf numFmtId="0" fontId="0" fillId="5" borderId="2" xfId="0" applyFill="1" applyBorder="1"/>
    <xf numFmtId="0" fontId="9" fillId="6" borderId="16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right"/>
    </xf>
    <xf numFmtId="0" fontId="10" fillId="6" borderId="19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9" fillId="0" borderId="21" xfId="0" applyFont="1" applyBorder="1" applyAlignment="1">
      <alignment horizontal="center" wrapText="1"/>
    </xf>
    <xf numFmtId="0" fontId="9" fillId="6" borderId="22" xfId="0" applyFont="1" applyFill="1" applyBorder="1"/>
    <xf numFmtId="0" fontId="10" fillId="6" borderId="3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right"/>
    </xf>
    <xf numFmtId="0" fontId="9" fillId="6" borderId="25" xfId="0" applyFont="1" applyFill="1" applyBorder="1"/>
    <xf numFmtId="0" fontId="9" fillId="0" borderId="28" xfId="0" applyFont="1" applyBorder="1" applyAlignment="1">
      <alignment wrapText="1"/>
    </xf>
    <xf numFmtId="0" fontId="10" fillId="6" borderId="16" xfId="0" applyFont="1" applyFill="1" applyBorder="1" applyAlignment="1">
      <alignment horizontal="center"/>
    </xf>
    <xf numFmtId="164" fontId="9" fillId="0" borderId="2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29" xfId="0" applyFont="1" applyBorder="1"/>
    <xf numFmtId="0" fontId="10" fillId="0" borderId="29" xfId="0" applyFont="1" applyBorder="1" applyAlignment="1">
      <alignment horizontal="center"/>
    </xf>
    <xf numFmtId="0" fontId="0" fillId="0" borderId="29" xfId="0" applyBorder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/>
    </xf>
    <xf numFmtId="0" fontId="10" fillId="6" borderId="30" xfId="0" applyFont="1" applyFill="1" applyBorder="1" applyAlignment="1">
      <alignment horizontal="center"/>
    </xf>
    <xf numFmtId="0" fontId="10" fillId="6" borderId="31" xfId="0" applyFont="1" applyFill="1" applyBorder="1"/>
    <xf numFmtId="0" fontId="10" fillId="6" borderId="32" xfId="0" applyFont="1" applyFill="1" applyBorder="1" applyAlignment="1">
      <alignment horizontal="right"/>
    </xf>
    <xf numFmtId="0" fontId="10" fillId="6" borderId="32" xfId="0" applyFont="1" applyFill="1" applyBorder="1" applyAlignment="1">
      <alignment horizontal="center"/>
    </xf>
    <xf numFmtId="0" fontId="10" fillId="6" borderId="33" xfId="0" applyFont="1" applyFill="1" applyBorder="1" applyAlignment="1">
      <alignment horizontal="right"/>
    </xf>
    <xf numFmtId="9" fontId="10" fillId="6" borderId="34" xfId="0" applyNumberFormat="1" applyFont="1" applyFill="1" applyBorder="1"/>
    <xf numFmtId="0" fontId="10" fillId="6" borderId="35" xfId="0" applyFont="1" applyFill="1" applyBorder="1" applyAlignment="1">
      <alignment horizontal="center" textRotation="180"/>
    </xf>
    <xf numFmtId="0" fontId="10" fillId="6" borderId="32" xfId="0" applyFont="1" applyFill="1" applyBorder="1"/>
    <xf numFmtId="0" fontId="10" fillId="6" borderId="32" xfId="0" applyFont="1" applyFill="1" applyBorder="1" applyAlignment="1">
      <alignment horizontal="center" textRotation="180"/>
    </xf>
    <xf numFmtId="0" fontId="10" fillId="6" borderId="33" xfId="0" applyFont="1" applyFill="1" applyBorder="1"/>
    <xf numFmtId="0" fontId="10" fillId="6" borderId="34" xfId="0" applyFont="1" applyFill="1" applyBorder="1"/>
    <xf numFmtId="0" fontId="9" fillId="0" borderId="36" xfId="0" applyFont="1" applyBorder="1" applyAlignment="1">
      <alignment horizontal="center"/>
    </xf>
    <xf numFmtId="0" fontId="10" fillId="0" borderId="7" xfId="0" applyFont="1" applyBorder="1" applyAlignment="1">
      <alignment horizontal="left" vertical="top" wrapText="1"/>
    </xf>
    <xf numFmtId="0" fontId="9" fillId="0" borderId="37" xfId="0" applyFont="1" applyBorder="1" applyAlignment="1">
      <alignment horizontal="left" vertical="top" wrapText="1"/>
    </xf>
    <xf numFmtId="0" fontId="9" fillId="0" borderId="38" xfId="0" applyFont="1" applyBorder="1" applyAlignment="1">
      <alignment horizontal="center"/>
    </xf>
    <xf numFmtId="0" fontId="10" fillId="0" borderId="2" xfId="0" applyFont="1" applyBorder="1" applyAlignment="1">
      <alignment horizontal="left" vertical="top" wrapText="1"/>
    </xf>
    <xf numFmtId="0" fontId="9" fillId="0" borderId="39" xfId="0" applyFont="1" applyBorder="1" applyAlignment="1">
      <alignment horizontal="left" vertical="top" wrapText="1"/>
    </xf>
    <xf numFmtId="0" fontId="10" fillId="6" borderId="2" xfId="0" applyFont="1" applyFill="1" applyBorder="1" applyAlignment="1">
      <alignment horizontal="right"/>
    </xf>
    <xf numFmtId="0" fontId="0" fillId="0" borderId="28" xfId="0" applyBorder="1"/>
    <xf numFmtId="0" fontId="0" fillId="0" borderId="41" xfId="0" applyBorder="1"/>
    <xf numFmtId="0" fontId="11" fillId="0" borderId="2" xfId="0" applyFont="1" applyBorder="1" applyAlignment="1">
      <alignment horizontal="left" vertical="top" wrapText="1"/>
    </xf>
    <xf numFmtId="0" fontId="10" fillId="6" borderId="2" xfId="0" applyFont="1" applyFill="1" applyBorder="1" applyAlignment="1">
      <alignment horizontal="right" vertical="top"/>
    </xf>
    <xf numFmtId="0" fontId="4" fillId="0" borderId="0" xfId="0" applyFont="1"/>
    <xf numFmtId="14" fontId="0" fillId="0" borderId="0" xfId="0" applyNumberFormat="1"/>
    <xf numFmtId="9" fontId="0" fillId="0" borderId="2" xfId="0" applyNumberFormat="1" applyBorder="1"/>
    <xf numFmtId="10" fontId="0" fillId="0" borderId="2" xfId="0" applyNumberFormat="1" applyBorder="1"/>
    <xf numFmtId="0" fontId="8" fillId="0" borderId="6" xfId="0" applyFont="1" applyBorder="1"/>
    <xf numFmtId="0" fontId="8" fillId="0" borderId="7" xfId="0" applyFont="1" applyBorder="1"/>
    <xf numFmtId="0" fontId="6" fillId="4" borderId="13" xfId="0" applyFont="1" applyFill="1" applyBorder="1" applyAlignment="1">
      <alignment horizontal="center"/>
    </xf>
    <xf numFmtId="0" fontId="8" fillId="0" borderId="14" xfId="0" applyFont="1" applyBorder="1"/>
    <xf numFmtId="0" fontId="8" fillId="0" borderId="15" xfId="0" applyFont="1" applyBorder="1"/>
    <xf numFmtId="0" fontId="9" fillId="6" borderId="23" xfId="0" applyFont="1" applyFill="1" applyBorder="1" applyAlignment="1">
      <alignment horizontal="center"/>
    </xf>
    <xf numFmtId="0" fontId="8" fillId="0" borderId="26" xfId="0" applyFont="1" applyBorder="1"/>
    <xf numFmtId="0" fontId="10" fillId="6" borderId="24" xfId="0" applyFont="1" applyFill="1" applyBorder="1" applyAlignment="1">
      <alignment horizontal="right" vertical="top"/>
    </xf>
    <xf numFmtId="0" fontId="8" fillId="0" borderId="27" xfId="0" applyFont="1" applyBorder="1"/>
    <xf numFmtId="0" fontId="0" fillId="0" borderId="28" xfId="0" applyBorder="1"/>
    <xf numFmtId="0" fontId="8" fillId="0" borderId="40" xfId="0" applyFont="1" applyBorder="1"/>
    <xf numFmtId="0" fontId="8" fillId="0" borderId="41" xfId="0" applyFont="1" applyBorder="1"/>
    <xf numFmtId="0" fontId="0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wrapText="1"/>
    </xf>
    <xf numFmtId="0" fontId="12" fillId="2" borderId="4" xfId="1" applyFill="1" applyBorder="1" applyAlignment="1">
      <alignment wrapText="1"/>
    </xf>
    <xf numFmtId="0" fontId="15" fillId="0" borderId="2" xfId="0" applyFont="1" applyBorder="1"/>
    <xf numFmtId="0" fontId="14" fillId="4" borderId="11" xfId="0" applyFont="1" applyFill="1" applyBorder="1" applyAlignment="1">
      <alignment horizontal="center"/>
    </xf>
    <xf numFmtId="0" fontId="0" fillId="5" borderId="41" xfId="0" applyFill="1" applyBorder="1"/>
    <xf numFmtId="0" fontId="0" fillId="0" borderId="5" xfId="0" applyBorder="1"/>
    <xf numFmtId="0" fontId="0" fillId="0" borderId="14" xfId="0" applyBorder="1"/>
    <xf numFmtId="0" fontId="0" fillId="0" borderId="15" xfId="0" applyBorder="1"/>
    <xf numFmtId="14" fontId="0" fillId="0" borderId="7" xfId="0" applyNumberFormat="1" applyBorder="1"/>
    <xf numFmtId="0" fontId="0" fillId="0" borderId="7" xfId="0" applyBorder="1"/>
    <xf numFmtId="0" fontId="14" fillId="0" borderId="42" xfId="0" applyFont="1" applyBorder="1"/>
    <xf numFmtId="0" fontId="0" fillId="0" borderId="42" xfId="0" applyBorder="1"/>
    <xf numFmtId="0" fontId="15" fillId="0" borderId="42" xfId="0" applyFont="1" applyBorder="1"/>
    <xf numFmtId="0" fontId="1" fillId="0" borderId="42" xfId="0" applyFont="1" applyBorder="1"/>
    <xf numFmtId="0" fontId="13" fillId="0" borderId="42" xfId="0" applyFont="1" applyBorder="1"/>
    <xf numFmtId="14" fontId="0" fillId="0" borderId="42" xfId="0" applyNumberFormat="1" applyBorder="1"/>
    <xf numFmtId="0" fontId="1" fillId="0" borderId="42" xfId="0" applyFont="1" applyBorder="1" applyAlignment="1">
      <alignment vertical="center" wrapText="1"/>
    </xf>
    <xf numFmtId="0" fontId="0" fillId="8" borderId="41" xfId="0" applyFill="1" applyBorder="1"/>
    <xf numFmtId="0" fontId="0" fillId="8" borderId="2" xfId="0" applyFill="1" applyBorder="1"/>
    <xf numFmtId="0" fontId="0" fillId="9" borderId="0" xfId="0" applyFill="1"/>
    <xf numFmtId="0" fontId="16" fillId="0" borderId="42" xfId="0" applyFont="1" applyBorder="1"/>
    <xf numFmtId="0" fontId="17" fillId="0" borderId="42" xfId="0" applyFont="1" applyBorder="1"/>
    <xf numFmtId="0" fontId="18" fillId="0" borderId="42" xfId="0" applyFont="1" applyBorder="1"/>
    <xf numFmtId="14" fontId="17" fillId="0" borderId="42" xfId="0" applyNumberFormat="1" applyFont="1" applyBorder="1"/>
    <xf numFmtId="0" fontId="0" fillId="7" borderId="41" xfId="0" applyFill="1" applyBorder="1"/>
    <xf numFmtId="0" fontId="19" fillId="0" borderId="18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center" wrapText="1"/>
    </xf>
    <xf numFmtId="0" fontId="19" fillId="0" borderId="29" xfId="0" applyFont="1" applyBorder="1"/>
    <xf numFmtId="0" fontId="20" fillId="0" borderId="7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0" fillId="0" borderId="42" xfId="0" applyFont="1" applyBorder="1"/>
    <xf numFmtId="0" fontId="20" fillId="0" borderId="28" xfId="0" applyFont="1" applyBorder="1" applyAlignment="1">
      <alignment horizontal="left" vertical="top" wrapText="1"/>
    </xf>
    <xf numFmtId="0" fontId="22" fillId="6" borderId="3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wrapText="1"/>
    </xf>
    <xf numFmtId="0" fontId="20" fillId="0" borderId="2" xfId="0" applyFont="1" applyBorder="1" applyAlignment="1">
      <alignment horizontal="left" vertical="top" wrapText="1"/>
    </xf>
    <xf numFmtId="0" fontId="15" fillId="0" borderId="28" xfId="0" applyFont="1" applyBorder="1"/>
    <xf numFmtId="0" fontId="19" fillId="0" borderId="28" xfId="0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HideoSxy/251-351-10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workbookViewId="0">
      <selection activeCell="G12" sqref="G12"/>
    </sheetView>
  </sheetViews>
  <sheetFormatPr defaultColWidth="14.42578125" defaultRowHeight="15" customHeight="1" x14ac:dyDescent="0.25"/>
  <cols>
    <col min="1" max="1" width="9.140625" customWidth="1"/>
    <col min="2" max="2" width="44.5703125" customWidth="1"/>
    <col min="3" max="3" width="5.7109375" customWidth="1"/>
    <col min="4" max="4" width="33" customWidth="1"/>
    <col min="5" max="6" width="9.140625" customWidth="1"/>
    <col min="7" max="7" width="17.5703125" customWidth="1"/>
    <col min="8" max="8" width="10" customWidth="1"/>
    <col min="9" max="9" width="14.42578125" customWidth="1"/>
    <col min="10" max="10" width="13" customWidth="1"/>
    <col min="11" max="11" width="20.42578125" customWidth="1"/>
    <col min="12" max="31" width="9.140625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3.25" x14ac:dyDescent="0.35">
      <c r="A2" s="1"/>
      <c r="C2" s="2"/>
      <c r="D2" s="2" t="s">
        <v>0</v>
      </c>
      <c r="E2" s="2"/>
      <c r="F2" s="2"/>
      <c r="G2" s="3"/>
      <c r="H2" s="2"/>
      <c r="I2" s="2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x14ac:dyDescent="0.25">
      <c r="A3" s="1"/>
      <c r="B3" s="4" t="s">
        <v>1</v>
      </c>
      <c r="C3" s="1"/>
      <c r="D3" s="1"/>
      <c r="E3" s="1"/>
      <c r="F3" s="1"/>
      <c r="G3" s="3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5" t="s">
        <v>2</v>
      </c>
      <c r="C4" s="5"/>
      <c r="D4" s="5"/>
      <c r="E4" s="5"/>
      <c r="F4" s="5"/>
      <c r="G4" s="3"/>
      <c r="H4" s="5"/>
      <c r="I4" s="5"/>
      <c r="J4" s="1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/>
      <c r="B5" s="5"/>
      <c r="C5" s="5"/>
      <c r="D5" s="5"/>
      <c r="E5" s="5"/>
      <c r="F5" s="5"/>
      <c r="G5" s="1"/>
      <c r="H5" s="5"/>
      <c r="I5" s="5"/>
      <c r="J5" s="1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/>
      <c r="B6" s="5" t="s">
        <v>3</v>
      </c>
      <c r="C6" s="5"/>
      <c r="D6" s="5"/>
      <c r="E6" s="5"/>
      <c r="F6" s="5"/>
      <c r="G6" s="1"/>
      <c r="H6" s="5"/>
      <c r="I6" s="5"/>
      <c r="J6" s="1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/>
      <c r="B8" s="1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x14ac:dyDescent="0.25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  <c r="J9" s="6" t="s">
        <v>14</v>
      </c>
      <c r="K9" s="6" t="s">
        <v>15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45" x14ac:dyDescent="0.25">
      <c r="A10" s="7"/>
      <c r="B10" s="8" t="s">
        <v>87</v>
      </c>
      <c r="C10" s="9">
        <v>1</v>
      </c>
      <c r="D10" s="8" t="s">
        <v>91</v>
      </c>
      <c r="E10" s="10">
        <v>0.5</v>
      </c>
      <c r="F10" s="86" t="s">
        <v>98</v>
      </c>
      <c r="G10" s="120" t="s">
        <v>228</v>
      </c>
      <c r="H10" s="86" t="s">
        <v>95</v>
      </c>
      <c r="I10" s="86" t="s">
        <v>96</v>
      </c>
      <c r="J10" s="86" t="s">
        <v>95</v>
      </c>
      <c r="K10" s="87" t="s">
        <v>99</v>
      </c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60" x14ac:dyDescent="0.25">
      <c r="A11" s="7"/>
      <c r="B11" s="13" t="s">
        <v>88</v>
      </c>
      <c r="C11" s="85">
        <v>2</v>
      </c>
      <c r="D11" s="8" t="s">
        <v>92</v>
      </c>
      <c r="E11" s="10">
        <v>0.5</v>
      </c>
      <c r="F11" s="86" t="s">
        <v>98</v>
      </c>
      <c r="G11" s="120" t="s">
        <v>228</v>
      </c>
      <c r="H11" s="86" t="s">
        <v>95</v>
      </c>
      <c r="I11" s="86" t="s">
        <v>95</v>
      </c>
      <c r="J11" s="86" t="s">
        <v>95</v>
      </c>
      <c r="K11" s="73"/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30" x14ac:dyDescent="0.25">
      <c r="A12" s="7"/>
      <c r="B12" s="13" t="s">
        <v>89</v>
      </c>
      <c r="C12" s="85">
        <v>2</v>
      </c>
      <c r="D12" s="8" t="s">
        <v>93</v>
      </c>
      <c r="E12" s="10">
        <v>0.5</v>
      </c>
      <c r="F12" s="86" t="s">
        <v>98</v>
      </c>
      <c r="G12" s="11" t="s">
        <v>16</v>
      </c>
      <c r="H12" s="86" t="s">
        <v>95</v>
      </c>
      <c r="I12" s="86" t="s">
        <v>97</v>
      </c>
      <c r="J12" s="86" t="s">
        <v>95</v>
      </c>
      <c r="K12" s="73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60" x14ac:dyDescent="0.25">
      <c r="A13" s="7"/>
      <c r="B13" s="13" t="s">
        <v>90</v>
      </c>
      <c r="C13" s="85">
        <v>3</v>
      </c>
      <c r="D13" s="8" t="s">
        <v>94</v>
      </c>
      <c r="E13" s="10">
        <v>0.5</v>
      </c>
      <c r="F13" s="86" t="s">
        <v>98</v>
      </c>
      <c r="G13" s="11" t="s">
        <v>16</v>
      </c>
      <c r="H13" s="86" t="s">
        <v>95</v>
      </c>
      <c r="I13" s="86" t="s">
        <v>96</v>
      </c>
      <c r="J13" s="86" t="s">
        <v>95</v>
      </c>
      <c r="K13" s="74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4" t="s">
        <v>17</v>
      </c>
      <c r="B14" s="7"/>
      <c r="C14" s="15"/>
      <c r="D14" s="16"/>
      <c r="E14" s="10">
        <f>SUM(E10:E13)</f>
        <v>2</v>
      </c>
      <c r="F14" s="10"/>
      <c r="G14" s="17"/>
      <c r="H14" s="10"/>
      <c r="I14" s="10"/>
      <c r="J14" s="8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/>
      <c r="B15" s="18"/>
      <c r="C15" s="18"/>
      <c r="D15" s="18"/>
      <c r="E15" s="18"/>
      <c r="F15" s="18"/>
      <c r="G15" s="1"/>
      <c r="H15" s="18"/>
      <c r="I15" s="18"/>
      <c r="J15" s="18"/>
      <c r="K15" s="1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/>
      <c r="B16" s="18"/>
      <c r="C16" s="18"/>
      <c r="D16" s="18"/>
      <c r="E16" s="18"/>
      <c r="F16" s="18"/>
      <c r="G16" s="1"/>
      <c r="H16" s="18"/>
      <c r="I16" s="18"/>
      <c r="J16" s="18"/>
      <c r="K16" s="1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/>
      <c r="B17" s="18"/>
      <c r="C17" s="18"/>
      <c r="D17" s="18"/>
      <c r="E17" s="18"/>
      <c r="F17" s="18"/>
      <c r="G17" s="1"/>
      <c r="H17" s="18"/>
      <c r="I17" s="18"/>
      <c r="J17" s="18"/>
      <c r="K17" s="1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/>
      <c r="B18" s="18"/>
      <c r="C18" s="18"/>
      <c r="D18" s="18"/>
      <c r="E18" s="18"/>
      <c r="F18" s="18"/>
      <c r="G18" s="1"/>
      <c r="H18" s="18"/>
      <c r="I18" s="18"/>
      <c r="J18" s="18"/>
      <c r="K18" s="1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/>
      <c r="B19" s="18"/>
      <c r="C19" s="18"/>
      <c r="D19" s="18"/>
      <c r="E19" s="18"/>
      <c r="F19" s="18"/>
      <c r="G19" s="1"/>
      <c r="H19" s="18"/>
      <c r="I19" s="18"/>
      <c r="J19" s="18"/>
      <c r="K19" s="1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/>
      <c r="B20" s="18"/>
      <c r="C20" s="1"/>
      <c r="D20" s="1"/>
      <c r="E20" s="1"/>
      <c r="F20" s="1"/>
      <c r="G20" s="1"/>
      <c r="H20" s="1"/>
      <c r="I20" s="18"/>
      <c r="J20" s="18"/>
      <c r="K20" s="1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customHeight="1" x14ac:dyDescent="0.25">
      <c r="A21" s="1"/>
      <c r="B21" s="18"/>
      <c r="C21" s="18"/>
      <c r="D21" s="18"/>
      <c r="E21" s="18"/>
      <c r="F21" s="18"/>
      <c r="G21" s="1"/>
      <c r="H21" s="18"/>
      <c r="I21" s="18"/>
      <c r="J21" s="18"/>
      <c r="K21" s="1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customHeight="1" x14ac:dyDescent="0.25">
      <c r="A22" s="1"/>
      <c r="B22" s="18"/>
      <c r="C22" s="18"/>
      <c r="D22" s="18"/>
      <c r="E22" s="18"/>
      <c r="F22" s="18"/>
      <c r="G22" s="1"/>
      <c r="H22" s="18"/>
      <c r="I22" s="18"/>
      <c r="J22" s="18"/>
      <c r="K22" s="1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 x14ac:dyDescent="0.25">
      <c r="A23" s="1"/>
      <c r="B23" s="18"/>
      <c r="C23" s="18"/>
      <c r="D23" s="18"/>
      <c r="E23" s="18"/>
      <c r="F23" s="18"/>
      <c r="G23" s="1"/>
      <c r="H23" s="18"/>
      <c r="I23" s="18"/>
      <c r="J23" s="18"/>
      <c r="K23" s="1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1"/>
      <c r="B24" s="18"/>
      <c r="C24" s="18"/>
      <c r="D24" s="18"/>
      <c r="E24" s="18"/>
      <c r="F24" s="18"/>
      <c r="G24" s="1"/>
      <c r="H24" s="18"/>
      <c r="I24" s="18"/>
      <c r="J24" s="18"/>
      <c r="K24" s="1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15.75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15.75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5.75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5.75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5.75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5.7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5.75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5.75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5.7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5.7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5.7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5.75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5.75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15.75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15.75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15.75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5.75" customHeigh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15.75" customHeight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5.75" customHeight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5.75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5.75" customHeigh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5.75" customHeight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5.75" customHeight="1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5.75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5.75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5.75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5.75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5.75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5.75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5.75" customHeigh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5.7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5.75" customHeigh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5.75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5.75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5.75" customHeigh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5.75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5.75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5.7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5.75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5.75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5.75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5.7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5.7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5.75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5.75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5.7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5.75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5.75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5.75" customHeight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5.75" customHeigh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5.75" customHeigh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5.75" customHeight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5.75" customHeight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5.75" customHeigh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5.75" customHeight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5.75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5.75" customHeigh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5.75" customHeight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5.75" customHeigh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5.75" customHeigh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5.75" customHeight="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5.75" customHeight="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5.75" customHeight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5.75" customHeight="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5.75" customHeight="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5.75" customHeight="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5.75" customHeight="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5.75" customHeight="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5.75" customHeight="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5.75" customHeight="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5.75" customHeight="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5.75" customHeight="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5.75" customHeight="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5.75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5.75" customHeight="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5.75" customHeight="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5.75" customHeight="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5.75" customHeight="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5.75" customHeight="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5.75" customHeight="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5.75" customHeight="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5.7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5.75" customHeight="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5.75" customHeigh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5.75" customHeigh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5.75" customHeigh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5.75" customHeigh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5.75" customHeigh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5.75" customHeight="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5.75" customHeight="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5.75" customHeight="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5.75" customHeight="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5.75" customHeight="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5.75" customHeight="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5.75" customHeight="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5.75" customHeight="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5.75" customHeight="1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5.75" customHeight="1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5.75" customHeight="1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5.75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5.75" customHeight="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5.75" customHeight="1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5.75" customHeight="1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5.75" customHeight="1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5.75" customHeight="1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5.75" customHeight="1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5.75" customHeight="1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5.75" customHeight="1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5.75" customHeight="1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5.75" customHeight="1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5.75" customHeight="1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5.75" customHeight="1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5.75" customHeight="1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5.75" customHeight="1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5.75" customHeight="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5.75" customHeight="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5.75" customHeight="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5.75" customHeight="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5.75" customHeight="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5.75" customHeight="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5.75" customHeight="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5.75" customHeight="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5.75" customHeight="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5.75" customHeight="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5.75" customHeight="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5.75" customHeight="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5.75" customHeight="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5.75" customHeight="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5.75" customHeight="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5.75" customHeight="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5.75" customHeight="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5.75" customHeight="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5.75" customHeight="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5.75" customHeight="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5.75" customHeight="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5.75" customHeight="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5.75" customHeigh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5.75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5.75" customHeigh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5.75" customHeight="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5.75" customHeight="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5.75" customHeight="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5.75" customHeight="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5.75" customHeight="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5.75" customHeight="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5.75" customHeight="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5.75" customHeight="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5.75" customHeight="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5.75" customHeight="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5.75" customHeight="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5.75" customHeight="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5.75" customHeight="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5.75" customHeight="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5.75" customHeight="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5.75" customHeight="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5.75" customHeight="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5.75" customHeight="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5.75" customHeight="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5.75" customHeight="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5.75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5.75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5.75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5.75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5.75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5.75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5.75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5.75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5.75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5.75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5.75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5.75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5.75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5.75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5.75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5.75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5.75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5.75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5.75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5.75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5.75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5.75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5.75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5.75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5.75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5.75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5.75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5.75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5.75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5.75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5.75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5.75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5.75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5.75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5.75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5.75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5.75" customHeight="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5.75" customHeight="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5.75" customHeight="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5.75" customHeight="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5.75" customHeight="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5.75" customHeight="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5.75" customHeight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5.75" customHeight="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5.75" customHeight="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5.75" customHeight="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5.75" customHeight="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5.75" customHeight="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5.75" customHeight="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5.75" customHeight="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5.75" customHeight="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5.75" customHeight="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5.75" customHeight="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5.75" customHeight="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5.75" customHeight="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5.75" customHeight="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5.75" customHeight="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5.75" customHeight="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5.75" customHeight="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5.75" customHeight="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5.75" customHeight="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5.75" customHeight="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5.75" customHeight="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5.75" customHeight="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5.75" customHeight="1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5.75" customHeight="1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5.75" customHeight="1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5.75" customHeight="1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5.75" customHeight="1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5.75" customHeight="1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5.75" customHeight="1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5.75" customHeight="1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5.75" customHeight="1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5.75" customHeight="1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5.75" customHeight="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5.75" customHeight="1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5.75" customHeight="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5.75" customHeight="1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5.75" customHeight="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5.75" customHeight="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5.75" customHeight="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5.75" customHeight="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5.75" customHeight="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5.75" customHeight="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5.75" customHeight="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5.75" customHeight="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5.75" customHeight="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5.75" customHeight="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5.75" customHeight="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5.75" customHeight="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5.75" customHeight="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5.75" customHeight="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5.75" customHeight="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5.75" customHeight="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5.75" customHeight="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5.75" customHeight="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5.75" customHeight="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5.75" customHeight="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5.75" customHeight="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5.75" customHeight="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5.75" customHeight="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5.75" customHeight="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5.75" customHeight="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5.75" customHeight="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5.75" customHeight="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5.75" customHeight="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5.75" customHeigh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5.75" customHeight="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5.75" customHeight="1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5.75" customHeight="1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5.75" customHeight="1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5.75" customHeight="1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5.75" customHeight="1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5.75" customHeight="1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5.75" customHeight="1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5.75" customHeight="1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5.75" customHeight="1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5.75" customHeight="1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5.75" customHeight="1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5.75" customHeight="1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5.75" customHeight="1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5.75" customHeight="1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5.75" customHeight="1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5.75" customHeight="1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5.75" customHeight="1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5.75" customHeight="1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5.75" customHeight="1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5.75" customHeight="1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5.75" customHeight="1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5.75" customHeight="1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5.75" customHeight="1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5.75" customHeight="1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5.75" customHeight="1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5.75" customHeight="1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5.75" customHeight="1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5.75" customHeight="1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5.75" customHeight="1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5.75" customHeight="1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5.75" customHeight="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5.75" customHeight="1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5.75" customHeight="1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5.75" customHeight="1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5.75" customHeight="1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5.75" customHeight="1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5.75" customHeight="1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5.75" customHeight="1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5.75" customHeight="1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5.75" customHeight="1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5.75" customHeight="1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5.75" customHeight="1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5.75" customHeight="1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5.75" customHeight="1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5.75" customHeight="1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5.75" customHeight="1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5.75" customHeight="1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5.75" customHeight="1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5.75" customHeight="1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5.75" customHeight="1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5.75" customHeight="1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5.75" customHeight="1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5.75" customHeight="1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5.75" customHeight="1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5.75" customHeight="1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5.75" customHeight="1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5.75" customHeight="1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5.75" customHeight="1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5.75" customHeight="1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5.75" customHeight="1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5.75" customHeight="1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5.75" customHeight="1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5.75" customHeight="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5.75" customHeight="1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5.75" customHeight="1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5.75" customHeight="1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5.75" customHeight="1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5.75" customHeight="1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5.75" customHeight="1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5.75" customHeight="1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5.75" customHeight="1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5.75" customHeight="1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5.75" customHeight="1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5.75" customHeight="1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5.75" customHeight="1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5.75" customHeight="1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5.75" customHeight="1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5.75" customHeight="1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5.75" customHeight="1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5.75" customHeight="1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5.75" customHeight="1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5.75" customHeight="1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5.75" customHeight="1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5.75" customHeight="1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5.75" customHeight="1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5.75" customHeight="1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5.75" customHeight="1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5.75" customHeight="1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5.75" customHeight="1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5.75" customHeight="1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5.75" customHeight="1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5.75" customHeight="1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5.75" customHeight="1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5.75" customHeight="1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5.75" customHeight="1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5.75" customHeight="1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5.75" customHeight="1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5.75" customHeight="1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5.75" customHeight="1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5.75" customHeight="1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5.75" customHeight="1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5.75" customHeight="1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5.75" customHeight="1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5.75" customHeight="1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5.75" customHeight="1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5.75" customHeight="1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5.75" customHeight="1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5.75" customHeight="1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5.75" customHeight="1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5.75" customHeight="1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5.75" customHeight="1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5.75" customHeight="1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5.75" customHeight="1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5.75" customHeight="1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5.75" customHeight="1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5.75" customHeight="1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5.75" customHeight="1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5.75" customHeight="1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5.75" customHeight="1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5.75" customHeight="1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5.75" customHeight="1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5.75" customHeight="1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5.75" customHeight="1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5.75" customHeight="1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5.75" customHeight="1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5.75" customHeight="1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5.75" customHeight="1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5.75" customHeight="1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5.75" customHeight="1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5.75" customHeight="1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5.75" customHeight="1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5.75" customHeight="1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5.75" customHeight="1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5.75" customHeight="1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5.75" customHeight="1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5.75" customHeight="1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5.75" customHeight="1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5.75" customHeight="1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5.75" customHeight="1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5.75" customHeight="1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5.75" customHeight="1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5.75" customHeight="1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5.75" customHeight="1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5.75" customHeight="1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5.75" customHeight="1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5.75" customHeight="1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5.75" customHeight="1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5.75" customHeight="1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5.75" customHeight="1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5.75" customHeight="1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5.75" customHeight="1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5.75" customHeight="1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5.75" customHeight="1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5.75" customHeight="1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5.75" customHeight="1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5.75" customHeight="1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5.75" customHeight="1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5.75" customHeight="1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5.75" customHeight="1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5.75" customHeight="1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5.75" customHeight="1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5.75" customHeight="1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5.75" customHeight="1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5.75" customHeight="1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5.75" customHeight="1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5.75" customHeight="1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5.75" customHeight="1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5.75" customHeight="1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5.75" customHeight="1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5.75" customHeight="1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5.75" customHeight="1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5.75" customHeight="1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5.75" customHeight="1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5.75" customHeight="1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5.75" customHeight="1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5.75" customHeight="1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5.75" customHeight="1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5.75" customHeight="1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5.75" customHeight="1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5.75" customHeight="1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5.75" customHeight="1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5.75" customHeight="1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5.75" customHeight="1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5.75" customHeight="1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5.75" customHeight="1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5.75" customHeight="1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5.75" customHeight="1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5.75" customHeight="1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5.75" customHeight="1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5.75" customHeight="1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5.75" customHeight="1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5.75" customHeight="1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5.75" customHeight="1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5.75" customHeight="1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5.75" customHeight="1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5.75" customHeight="1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5.75" customHeight="1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5.75" customHeight="1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5.75" customHeight="1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5.75" customHeight="1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5.75" customHeight="1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5.75" customHeight="1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5.75" customHeight="1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5.75" customHeight="1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5.75" customHeight="1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5.75" customHeight="1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5.75" customHeight="1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5.75" customHeight="1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5.75" customHeight="1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5.75" customHeight="1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5.75" customHeight="1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5.75" customHeight="1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5.75" customHeight="1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5.75" customHeight="1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5.75" customHeight="1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5.75" customHeight="1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5.75" customHeight="1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5.75" customHeight="1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5.75" customHeight="1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5.75" customHeight="1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5.75" customHeight="1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5.75" customHeight="1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5.75" customHeight="1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5.75" customHeight="1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5.75" customHeight="1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5.75" customHeight="1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5.75" customHeight="1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5.75" customHeight="1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5.75" customHeight="1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5.75" customHeight="1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5.75" customHeight="1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5.75" customHeight="1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5.75" customHeight="1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5.75" customHeight="1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5.75" customHeight="1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5.75" customHeight="1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5.75" customHeight="1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5.75" customHeight="1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5.75" customHeight="1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5.75" customHeight="1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5.75" customHeight="1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5.75" customHeight="1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5.75" customHeight="1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5.75" customHeight="1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5.75" customHeight="1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5.75" customHeight="1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5.75" customHeight="1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5.75" customHeight="1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5.75" customHeight="1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5.75" customHeight="1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5.75" customHeight="1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5.75" customHeight="1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5.75" customHeight="1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5.75" customHeight="1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5.75" customHeight="1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5.75" customHeight="1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5.75" customHeight="1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5.75" customHeight="1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5.75" customHeight="1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5.75" customHeight="1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5.75" customHeight="1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5.75" customHeight="1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5.75" customHeight="1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5.75" customHeight="1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5.75" customHeight="1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5.75" customHeight="1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5.75" customHeight="1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5.75" customHeight="1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5.75" customHeight="1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5.75" customHeight="1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5.75" customHeight="1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5.75" customHeight="1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5.75" customHeight="1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5.75" customHeight="1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5.75" customHeight="1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5.75" customHeight="1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5.75" customHeight="1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5.75" customHeight="1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5.75" customHeight="1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5.75" customHeight="1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5.75" customHeight="1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5.75" customHeight="1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5.75" customHeight="1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5.75" customHeight="1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5.75" customHeight="1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5.75" customHeight="1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5.75" customHeight="1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5.75" customHeight="1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5.75" customHeight="1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5.75" customHeight="1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5.75" customHeight="1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5.75" customHeight="1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5.75" customHeight="1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5.75" customHeight="1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5.75" customHeight="1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5.75" customHeight="1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5.75" customHeight="1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5.75" customHeight="1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5.75" customHeight="1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5.75" customHeight="1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5.75" customHeight="1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5.75" customHeight="1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5.75" customHeight="1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5.75" customHeight="1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5.75" customHeight="1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5.75" customHeight="1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5.75" customHeight="1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5.75" customHeight="1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5.75" customHeight="1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5.75" customHeight="1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5.75" customHeight="1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5.75" customHeight="1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5.75" customHeight="1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5.75" customHeight="1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5.75" customHeight="1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5.75" customHeight="1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5.75" customHeight="1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5.75" customHeight="1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5.75" customHeight="1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5.75" customHeight="1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5.75" customHeight="1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5.75" customHeight="1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5.75" customHeight="1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5.75" customHeight="1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5.75" customHeight="1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5.75" customHeight="1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5.75" customHeight="1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5.75" customHeight="1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5.75" customHeight="1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5.75" customHeight="1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5.75" customHeight="1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5.75" customHeight="1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5.75" customHeight="1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5.75" customHeight="1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5.75" customHeight="1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5.75" customHeight="1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5.75" customHeight="1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5.75" customHeight="1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5.75" customHeight="1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5.75" customHeight="1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5.75" customHeight="1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5.75" customHeight="1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5.75" customHeight="1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5.75" customHeight="1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5.75" customHeight="1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5.75" customHeight="1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5.75" customHeight="1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5.75" customHeight="1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5.75" customHeight="1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5.75" customHeight="1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5.75" customHeight="1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5.75" customHeight="1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5.75" customHeight="1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5.75" customHeight="1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5.75" customHeight="1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5.75" customHeight="1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5.75" customHeight="1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5.75" customHeight="1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5.75" customHeight="1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5.75" customHeight="1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5.75" customHeight="1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5.75" customHeight="1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5.75" customHeight="1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5.75" customHeight="1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5.75" customHeight="1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5.75" customHeight="1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5.75" customHeight="1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5.75" customHeight="1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5.75" customHeight="1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5.75" customHeight="1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5.75" customHeight="1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5.75" customHeight="1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5.75" customHeight="1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5.75" customHeight="1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5.75" customHeight="1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5.75" customHeight="1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5.75" customHeight="1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5.75" customHeight="1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5.75" customHeight="1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5.75" customHeight="1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5.75" customHeight="1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5.75" customHeight="1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5.75" customHeight="1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5.75" customHeight="1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5.75" customHeight="1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5.75" customHeight="1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5.75" customHeight="1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5.75" customHeight="1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5.75" customHeight="1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5.75" customHeight="1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5.75" customHeight="1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5.75" customHeight="1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5.75" customHeight="1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5.75" customHeight="1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5.75" customHeight="1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5.75" customHeight="1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5.75" customHeight="1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5.75" customHeight="1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5.75" customHeight="1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5.75" customHeight="1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5.75" customHeight="1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5.75" customHeight="1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5.75" customHeight="1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5.75" customHeight="1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5.75" customHeight="1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5.75" customHeight="1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5.75" customHeight="1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5.75" customHeight="1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5.75" customHeight="1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5.75" customHeight="1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5.75" customHeight="1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5.75" customHeight="1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5.75" customHeight="1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5.75" customHeight="1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5.75" customHeight="1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5.75" customHeight="1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5.75" customHeight="1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5.75" customHeight="1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5.75" customHeight="1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5.75" customHeight="1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5.75" customHeight="1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5.75" customHeight="1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5.75" customHeight="1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5.75" customHeight="1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5.75" customHeight="1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5.75" customHeight="1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5.75" customHeight="1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5.75" customHeight="1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5.75" customHeight="1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5.75" customHeight="1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5.75" customHeight="1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5.75" customHeight="1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5.75" customHeight="1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5.75" customHeight="1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5.75" customHeight="1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5.75" customHeight="1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5.75" customHeight="1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5.75" customHeight="1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5.75" customHeight="1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5.75" customHeight="1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5.75" customHeight="1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5.75" customHeight="1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5.75" customHeight="1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5.75" customHeight="1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5.75" customHeight="1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5.75" customHeight="1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5.75" customHeight="1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5.75" customHeight="1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5.75" customHeight="1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5.75" customHeight="1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5.75" customHeight="1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5.75" customHeight="1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5.75" customHeight="1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5.75" customHeight="1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5.75" customHeight="1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5.75" customHeight="1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5.75" customHeight="1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5.75" customHeight="1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5.75" customHeight="1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5.75" customHeight="1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5.75" customHeight="1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5.75" customHeight="1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5.75" customHeight="1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5.75" customHeight="1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5.75" customHeight="1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5.75" customHeight="1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5.75" customHeight="1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5.75" customHeight="1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5.75" customHeight="1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5.75" customHeight="1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5.75" customHeight="1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5.75" customHeight="1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5.75" customHeight="1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5.75" customHeight="1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5.75" customHeight="1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5.75" customHeight="1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5.75" customHeight="1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5.75" customHeight="1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5.75" customHeight="1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5.75" customHeight="1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5.75" customHeight="1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5.75" customHeight="1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5.75" customHeight="1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5.75" customHeight="1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5.75" customHeight="1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5.75" customHeight="1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5.75" customHeight="1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5.75" customHeight="1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5.75" customHeight="1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5.75" customHeight="1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5.75" customHeight="1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5.75" customHeight="1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5.75" customHeight="1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5.75" customHeight="1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5.75" customHeight="1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5.75" customHeight="1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5.75" customHeight="1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5.75" customHeight="1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5.75" customHeight="1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5.75" customHeight="1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5.75" customHeight="1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5.75" customHeight="1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5.75" customHeight="1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5.75" customHeight="1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5.75" customHeight="1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5.75" customHeight="1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5.75" customHeight="1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5.75" customHeight="1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5.75" customHeight="1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5.75" customHeight="1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5.75" customHeight="1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5.75" customHeight="1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5.75" customHeight="1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5.75" customHeight="1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5.75" customHeight="1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5.75" customHeight="1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5.75" customHeight="1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5.75" customHeight="1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5.75" customHeight="1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5.75" customHeight="1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5.75" customHeight="1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5.75" customHeight="1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5.75" customHeight="1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5.75" customHeight="1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5.75" customHeight="1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5.75" customHeight="1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5.75" customHeight="1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5.75" customHeight="1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5.75" customHeight="1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5.75" customHeight="1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5.75" customHeight="1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5.75" customHeight="1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5.75" customHeight="1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5.75" customHeight="1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5.75" customHeight="1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5.75" customHeight="1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5.75" customHeight="1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5.75" customHeight="1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5.75" customHeight="1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5.75" customHeight="1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5.75" customHeight="1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5.75" customHeight="1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5.75" customHeight="1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5.75" customHeight="1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5.75" customHeight="1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5.75" customHeight="1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5.75" customHeight="1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5.75" customHeight="1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5.75" customHeight="1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5.75" customHeight="1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5.75" customHeight="1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5.75" customHeight="1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5.75" customHeight="1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5.75" customHeight="1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5.75" customHeight="1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5.75" customHeight="1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5.75" customHeight="1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5.75" customHeight="1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5.75" customHeight="1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5.75" customHeight="1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5.75" customHeight="1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5.75" customHeight="1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5.75" customHeight="1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5.75" customHeight="1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5.75" customHeight="1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5.75" customHeight="1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5.75" customHeight="1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5.75" customHeight="1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5.75" customHeight="1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5.75" customHeight="1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5.75" customHeight="1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5.75" customHeight="1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5.75" customHeight="1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5.75" customHeight="1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5.75" customHeight="1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5.75" customHeight="1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5.75" customHeight="1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5.75" customHeight="1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5.75" customHeight="1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5.75" customHeight="1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5.75" customHeight="1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5.75" customHeight="1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5.75" customHeight="1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5.75" customHeight="1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5.75" customHeight="1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5.75" customHeight="1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5.75" customHeight="1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5.75" customHeight="1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5.75" customHeight="1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5.75" customHeight="1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5.75" customHeight="1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5.75" customHeight="1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5.75" customHeight="1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5.75" customHeight="1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5.75" customHeight="1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5.75" customHeight="1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5.75" customHeight="1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5.75" customHeight="1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5.75" customHeight="1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5.75" customHeight="1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5.75" customHeight="1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5.75" customHeight="1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5.75" customHeight="1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5.75" customHeight="1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5.75" customHeight="1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5.75" customHeight="1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5.75" customHeight="1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5.75" customHeight="1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5.75" customHeight="1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5.75" customHeight="1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5.75" customHeight="1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5.75" customHeight="1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5.75" customHeight="1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5.75" customHeight="1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5.75" customHeight="1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5.75" customHeight="1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5.75" customHeight="1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5.75" customHeight="1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5.75" customHeight="1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5.75" customHeight="1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5.75" customHeight="1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5.75" customHeight="1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5.75" customHeight="1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5.75" customHeight="1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5.75" customHeight="1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5.75" customHeight="1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5.75" customHeight="1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5.75" customHeight="1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5.75" customHeight="1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5.75" customHeight="1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5.75" customHeight="1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5.75" customHeight="1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5.75" customHeight="1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5.75" customHeight="1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5.75" customHeight="1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5.75" customHeight="1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5.75" customHeight="1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5.75" customHeight="1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5.75" customHeight="1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5.75" customHeight="1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5.75" customHeight="1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5.75" customHeight="1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5.75" customHeight="1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5.75" customHeight="1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5.75" customHeight="1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5.75" customHeight="1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5.75" customHeight="1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5.75" customHeight="1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5.75" customHeight="1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5.75" customHeight="1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5.75" customHeight="1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5.75" customHeight="1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5.75" customHeight="1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5.75" customHeight="1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5.75" customHeight="1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5.75" customHeight="1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5.75" customHeight="1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5.75" customHeight="1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5.75" customHeight="1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5.75" customHeight="1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5.75" customHeight="1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5.75" customHeight="1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5.75" customHeight="1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5.75" customHeight="1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5.75" customHeight="1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5.75" customHeight="1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5.75" customHeight="1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5.75" customHeight="1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5.75" customHeight="1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5.75" customHeight="1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5.75" customHeight="1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5.75" customHeight="1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5.75" customHeight="1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5.75" customHeight="1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5.75" customHeight="1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5.75" customHeight="1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5.75" customHeight="1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5.75" customHeight="1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5.75" customHeight="1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5.75" customHeight="1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5.75" customHeight="1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5.75" customHeight="1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5.75" customHeight="1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5.75" customHeight="1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5.75" customHeight="1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5.75" customHeight="1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5.75" customHeight="1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5.75" customHeight="1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5.75" customHeight="1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5.75" customHeight="1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5.75" customHeight="1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5.75" customHeight="1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5.75" customHeight="1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5.75" customHeight="1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5.75" customHeight="1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5.75" customHeight="1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5.75" customHeight="1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5.75" customHeight="1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5.75" customHeight="1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5.75" customHeight="1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5.75" customHeight="1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1">
    <mergeCell ref="K10:K13"/>
  </mergeCells>
  <hyperlinks>
    <hyperlink ref="K10" r:id="rId1" xr:uid="{511A318D-975D-469D-B8C7-4C44FD680D02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9"/>
  <sheetViews>
    <sheetView workbookViewId="0">
      <selection activeCell="B5" sqref="B5:C11"/>
    </sheetView>
  </sheetViews>
  <sheetFormatPr defaultColWidth="14.42578125" defaultRowHeight="15" customHeight="1" outlineLevelRow="1" x14ac:dyDescent="0.25"/>
  <cols>
    <col min="1" max="1" width="30.7109375" customWidth="1"/>
    <col min="2" max="2" width="60.5703125" customWidth="1"/>
    <col min="3" max="3" width="60.7109375" customWidth="1"/>
    <col min="4" max="4" width="11.42578125" customWidth="1"/>
    <col min="5" max="5" width="17.85546875" customWidth="1"/>
    <col min="6" max="6" width="14.140625" customWidth="1"/>
    <col min="7" max="8" width="10" customWidth="1"/>
    <col min="9" max="9" width="3.28515625" customWidth="1"/>
    <col min="10" max="10" width="53.28515625" customWidth="1"/>
    <col min="11" max="26" width="8.7109375" customWidth="1"/>
  </cols>
  <sheetData>
    <row r="1" spans="1:11" x14ac:dyDescent="0.25">
      <c r="A1" s="19" t="s">
        <v>18</v>
      </c>
      <c r="B1" s="89" t="s">
        <v>41</v>
      </c>
      <c r="C1" s="89" t="s">
        <v>42</v>
      </c>
      <c r="D1" s="20"/>
      <c r="E1" s="21"/>
      <c r="F1" s="22" t="s">
        <v>19</v>
      </c>
      <c r="I1" s="75" t="s">
        <v>20</v>
      </c>
      <c r="J1" s="76"/>
      <c r="K1" s="77"/>
    </row>
    <row r="2" spans="1:11" x14ac:dyDescent="0.25">
      <c r="A2" s="91"/>
      <c r="B2" s="92"/>
      <c r="C2" s="92"/>
      <c r="D2" s="92"/>
      <c r="E2" s="93"/>
      <c r="F2" s="23">
        <v>46168</v>
      </c>
      <c r="I2" s="24" t="s">
        <v>21</v>
      </c>
      <c r="J2" s="24" t="s">
        <v>22</v>
      </c>
      <c r="K2" s="24" t="s">
        <v>23</v>
      </c>
    </row>
    <row r="3" spans="1:11" x14ac:dyDescent="0.25">
      <c r="A3" s="106" t="s">
        <v>87</v>
      </c>
      <c r="B3" s="107"/>
      <c r="C3" s="107"/>
      <c r="D3" s="97"/>
      <c r="E3" s="97"/>
      <c r="F3" s="90"/>
      <c r="I3" s="7"/>
      <c r="J3" s="7"/>
      <c r="K3" s="7"/>
    </row>
    <row r="4" spans="1:11" x14ac:dyDescent="0.25">
      <c r="A4" s="107" t="s">
        <v>127</v>
      </c>
      <c r="B4" s="107"/>
      <c r="C4" s="107"/>
      <c r="D4" s="97"/>
      <c r="E4" s="97"/>
      <c r="F4" s="90"/>
      <c r="I4" s="7"/>
      <c r="J4" s="7"/>
      <c r="K4" s="7"/>
    </row>
    <row r="5" spans="1:11" outlineLevel="1" x14ac:dyDescent="0.25">
      <c r="A5" s="107"/>
      <c r="B5" s="107" t="s">
        <v>100</v>
      </c>
      <c r="C5" s="99" t="s">
        <v>145</v>
      </c>
      <c r="D5" s="97"/>
      <c r="E5" s="97"/>
      <c r="F5" s="90"/>
      <c r="I5" s="7"/>
      <c r="J5" s="7"/>
      <c r="K5" s="7"/>
    </row>
    <row r="6" spans="1:11" outlineLevel="1" x14ac:dyDescent="0.25">
      <c r="A6" s="107"/>
      <c r="B6" s="107" t="s">
        <v>101</v>
      </c>
      <c r="C6" s="99" t="s">
        <v>146</v>
      </c>
      <c r="D6" s="97"/>
      <c r="E6" s="97"/>
      <c r="F6" s="90"/>
      <c r="I6" s="7"/>
      <c r="J6" s="7"/>
      <c r="K6" s="7"/>
    </row>
    <row r="7" spans="1:11" outlineLevel="1" x14ac:dyDescent="0.25">
      <c r="A7" s="107"/>
      <c r="B7" s="107" t="s">
        <v>102</v>
      </c>
      <c r="C7" s="99" t="s">
        <v>138</v>
      </c>
      <c r="D7" s="97"/>
      <c r="E7" s="97"/>
      <c r="F7" s="90"/>
      <c r="I7" s="7"/>
      <c r="J7" s="7"/>
      <c r="K7" s="7"/>
    </row>
    <row r="8" spans="1:11" outlineLevel="1" x14ac:dyDescent="0.25">
      <c r="A8" s="107"/>
      <c r="B8" s="107" t="s">
        <v>103</v>
      </c>
      <c r="C8" s="99" t="s">
        <v>139</v>
      </c>
      <c r="D8" s="97"/>
      <c r="E8" s="97"/>
      <c r="F8" s="103"/>
      <c r="I8" s="7"/>
      <c r="J8" s="7"/>
      <c r="K8" s="7"/>
    </row>
    <row r="9" spans="1:11" outlineLevel="1" x14ac:dyDescent="0.25">
      <c r="A9" s="107"/>
      <c r="B9" s="107" t="s">
        <v>104</v>
      </c>
      <c r="C9" s="99" t="s">
        <v>140</v>
      </c>
      <c r="D9" s="97"/>
      <c r="E9" s="97"/>
      <c r="F9" s="90"/>
      <c r="I9" s="7"/>
      <c r="J9" s="7"/>
      <c r="K9" s="7"/>
    </row>
    <row r="10" spans="1:11" outlineLevel="1" x14ac:dyDescent="0.25">
      <c r="A10" s="107"/>
      <c r="B10" s="107" t="s">
        <v>105</v>
      </c>
      <c r="C10" s="99" t="s">
        <v>140</v>
      </c>
      <c r="D10" s="97"/>
      <c r="E10" s="97"/>
      <c r="F10" s="90"/>
      <c r="I10" s="7"/>
      <c r="J10" s="7"/>
      <c r="K10" s="7"/>
    </row>
    <row r="11" spans="1:11" outlineLevel="1" x14ac:dyDescent="0.25">
      <c r="A11" s="107"/>
      <c r="B11" s="107" t="s">
        <v>106</v>
      </c>
      <c r="C11" s="99" t="s">
        <v>141</v>
      </c>
      <c r="D11" s="97"/>
      <c r="E11" s="97"/>
      <c r="F11" s="90"/>
      <c r="I11" s="7"/>
      <c r="J11" s="7"/>
      <c r="K11" s="7"/>
    </row>
    <row r="12" spans="1:11" outlineLevel="1" x14ac:dyDescent="0.25">
      <c r="A12" s="107" t="s">
        <v>128</v>
      </c>
      <c r="B12" s="107"/>
      <c r="C12" s="99"/>
      <c r="D12" s="97"/>
      <c r="E12" s="97"/>
      <c r="F12" s="103"/>
      <c r="I12" s="7"/>
      <c r="J12" s="7"/>
      <c r="K12" s="7"/>
    </row>
    <row r="13" spans="1:11" outlineLevel="1" x14ac:dyDescent="0.25">
      <c r="A13" s="107"/>
      <c r="B13" s="107" t="s">
        <v>107</v>
      </c>
      <c r="C13" s="99" t="s">
        <v>142</v>
      </c>
      <c r="D13" s="97"/>
      <c r="E13" s="97"/>
      <c r="F13" s="90"/>
      <c r="I13" s="7"/>
      <c r="J13" s="7"/>
      <c r="K13" s="7"/>
    </row>
    <row r="14" spans="1:11" outlineLevel="1" x14ac:dyDescent="0.25">
      <c r="A14" s="107"/>
      <c r="B14" s="107" t="s">
        <v>108</v>
      </c>
      <c r="C14" s="99" t="s">
        <v>147</v>
      </c>
      <c r="D14" s="97"/>
      <c r="E14" s="97"/>
      <c r="F14" s="90"/>
      <c r="I14" s="7"/>
      <c r="J14" s="7"/>
      <c r="K14" s="7"/>
    </row>
    <row r="15" spans="1:11" outlineLevel="1" x14ac:dyDescent="0.25">
      <c r="A15" s="107"/>
      <c r="B15" s="107" t="s">
        <v>109</v>
      </c>
      <c r="C15" s="99" t="s">
        <v>147</v>
      </c>
      <c r="D15" s="97"/>
      <c r="E15" s="97"/>
      <c r="F15" s="90"/>
      <c r="I15" s="7"/>
      <c r="J15" s="7"/>
      <c r="K15" s="7"/>
    </row>
    <row r="16" spans="1:11" outlineLevel="1" x14ac:dyDescent="0.25">
      <c r="A16" s="107"/>
      <c r="B16" s="107" t="s">
        <v>110</v>
      </c>
      <c r="C16" s="99" t="s">
        <v>140</v>
      </c>
      <c r="D16" s="97"/>
      <c r="E16" s="97"/>
      <c r="F16" s="90"/>
      <c r="I16" s="7"/>
      <c r="J16" s="7"/>
      <c r="K16" s="7"/>
    </row>
    <row r="17" spans="1:11" outlineLevel="1" x14ac:dyDescent="0.25">
      <c r="A17" s="107"/>
      <c r="B17" s="107" t="s">
        <v>111</v>
      </c>
      <c r="C17" s="99" t="s">
        <v>140</v>
      </c>
      <c r="D17" s="97"/>
      <c r="E17" s="97"/>
      <c r="F17" s="90"/>
      <c r="I17" s="7"/>
      <c r="J17" s="7"/>
      <c r="K17" s="7"/>
    </row>
    <row r="18" spans="1:11" outlineLevel="1" x14ac:dyDescent="0.25">
      <c r="A18" s="107"/>
      <c r="B18" s="107" t="s">
        <v>112</v>
      </c>
      <c r="C18" s="99" t="s">
        <v>143</v>
      </c>
      <c r="D18" s="97"/>
      <c r="E18" s="97"/>
      <c r="F18" s="90"/>
      <c r="I18" s="7"/>
      <c r="J18" s="7"/>
      <c r="K18" s="7"/>
    </row>
    <row r="19" spans="1:11" outlineLevel="1" x14ac:dyDescent="0.25">
      <c r="A19" s="107"/>
      <c r="B19" s="107" t="s">
        <v>113</v>
      </c>
      <c r="C19" s="99" t="s">
        <v>218</v>
      </c>
      <c r="D19" s="97"/>
      <c r="E19" s="97"/>
      <c r="F19" s="90"/>
      <c r="I19" s="7"/>
      <c r="J19" s="7"/>
      <c r="K19" s="7"/>
    </row>
    <row r="20" spans="1:11" ht="15" customHeight="1" outlineLevel="1" x14ac:dyDescent="0.25">
      <c r="A20" s="107"/>
      <c r="B20" s="107" t="s">
        <v>114</v>
      </c>
      <c r="C20" s="99" t="s">
        <v>144</v>
      </c>
      <c r="D20" s="97"/>
      <c r="E20" s="97"/>
      <c r="F20" s="103"/>
      <c r="I20" s="7"/>
      <c r="J20" s="7"/>
      <c r="K20" s="7"/>
    </row>
    <row r="21" spans="1:11" ht="15.75" customHeight="1" outlineLevel="1" x14ac:dyDescent="0.25">
      <c r="A21" s="106" t="s">
        <v>88</v>
      </c>
      <c r="B21" s="107"/>
      <c r="C21" s="99"/>
      <c r="D21" s="97"/>
      <c r="E21" s="97"/>
      <c r="F21" s="103"/>
      <c r="I21" s="7"/>
      <c r="J21" s="7"/>
      <c r="K21" s="7"/>
    </row>
    <row r="22" spans="1:11" ht="15.75" customHeight="1" x14ac:dyDescent="0.25">
      <c r="A22" s="107" t="s">
        <v>124</v>
      </c>
      <c r="B22" s="107"/>
      <c r="C22" s="99"/>
      <c r="D22" s="97"/>
      <c r="E22" s="97"/>
      <c r="F22" s="103"/>
      <c r="I22" s="7"/>
      <c r="J22" s="7"/>
      <c r="K22" s="7"/>
    </row>
    <row r="23" spans="1:11" ht="15.75" customHeight="1" outlineLevel="1" x14ac:dyDescent="0.25">
      <c r="A23" s="107"/>
      <c r="B23" s="107" t="s">
        <v>115</v>
      </c>
      <c r="C23" s="99" t="s">
        <v>148</v>
      </c>
      <c r="D23" s="97"/>
      <c r="E23" s="97"/>
      <c r="F23" s="103"/>
      <c r="I23" s="7"/>
      <c r="J23" s="7"/>
      <c r="K23" s="7"/>
    </row>
    <row r="24" spans="1:11" ht="15.75" customHeight="1" outlineLevel="1" x14ac:dyDescent="0.25">
      <c r="A24" s="107"/>
      <c r="B24" s="107" t="s">
        <v>116</v>
      </c>
      <c r="C24" s="99" t="s">
        <v>149</v>
      </c>
      <c r="D24" s="97"/>
      <c r="E24" s="97"/>
      <c r="F24" s="90"/>
      <c r="I24" s="7"/>
      <c r="J24" s="7"/>
      <c r="K24" s="7"/>
    </row>
    <row r="25" spans="1:11" ht="15.75" customHeight="1" outlineLevel="1" x14ac:dyDescent="0.25">
      <c r="A25" s="107"/>
      <c r="B25" s="107" t="s">
        <v>117</v>
      </c>
      <c r="C25" s="99" t="s">
        <v>150</v>
      </c>
      <c r="D25" s="97"/>
      <c r="E25" s="97"/>
      <c r="F25" s="90"/>
      <c r="I25" s="7"/>
      <c r="J25" s="7"/>
      <c r="K25" s="7"/>
    </row>
    <row r="26" spans="1:11" ht="15.75" customHeight="1" outlineLevel="1" x14ac:dyDescent="0.25">
      <c r="A26" s="107"/>
      <c r="B26" s="107" t="s">
        <v>118</v>
      </c>
      <c r="C26" s="99" t="s">
        <v>151</v>
      </c>
      <c r="D26" s="97"/>
      <c r="E26" s="97"/>
      <c r="F26" s="103"/>
      <c r="I26" s="7"/>
      <c r="J26" s="7"/>
      <c r="K26" s="7"/>
    </row>
    <row r="27" spans="1:11" ht="15.75" customHeight="1" outlineLevel="1" x14ac:dyDescent="0.25">
      <c r="A27" s="107" t="s">
        <v>126</v>
      </c>
      <c r="B27" s="107"/>
      <c r="C27" s="99"/>
      <c r="D27" s="97"/>
      <c r="E27" s="97"/>
      <c r="F27" s="103"/>
      <c r="I27" s="7"/>
      <c r="J27" s="7"/>
      <c r="K27" s="7"/>
    </row>
    <row r="28" spans="1:11" ht="15.75" customHeight="1" outlineLevel="1" x14ac:dyDescent="0.25">
      <c r="A28" s="107"/>
      <c r="B28" s="107" t="s">
        <v>152</v>
      </c>
      <c r="C28" s="99" t="s">
        <v>153</v>
      </c>
      <c r="D28" s="97"/>
      <c r="E28" s="97"/>
      <c r="F28" s="103"/>
      <c r="I28" s="7"/>
      <c r="J28" s="7"/>
      <c r="K28" s="7"/>
    </row>
    <row r="29" spans="1:11" ht="15.75" customHeight="1" x14ac:dyDescent="0.25">
      <c r="A29" s="107" t="s">
        <v>125</v>
      </c>
      <c r="B29" s="107"/>
      <c r="C29" s="99"/>
      <c r="D29" s="97"/>
      <c r="E29" s="97"/>
      <c r="F29" s="90"/>
      <c r="I29" s="7"/>
      <c r="J29" s="7"/>
      <c r="K29" s="7"/>
    </row>
    <row r="30" spans="1:11" ht="15.75" customHeight="1" x14ac:dyDescent="0.25">
      <c r="A30" s="107"/>
      <c r="B30" s="107" t="s">
        <v>119</v>
      </c>
      <c r="C30" s="99" t="s">
        <v>154</v>
      </c>
      <c r="D30" s="97"/>
      <c r="E30" s="97"/>
      <c r="F30" s="103"/>
      <c r="I30" s="7"/>
      <c r="J30" s="7"/>
      <c r="K30" s="7"/>
    </row>
    <row r="31" spans="1:11" ht="15.75" customHeight="1" outlineLevel="1" x14ac:dyDescent="0.25">
      <c r="A31" s="107"/>
      <c r="B31" s="107" t="s">
        <v>120</v>
      </c>
      <c r="C31" s="99" t="s">
        <v>154</v>
      </c>
      <c r="D31" s="97" t="s">
        <v>28</v>
      </c>
      <c r="E31" s="97"/>
      <c r="F31" s="90"/>
      <c r="I31" s="7"/>
      <c r="J31" s="7"/>
      <c r="K31" s="7"/>
    </row>
    <row r="32" spans="1:11" ht="15.75" customHeight="1" outlineLevel="1" x14ac:dyDescent="0.25">
      <c r="A32" s="107"/>
      <c r="B32" s="107" t="s">
        <v>121</v>
      </c>
      <c r="C32" s="99" t="s">
        <v>155</v>
      </c>
      <c r="D32" s="97"/>
      <c r="E32" s="97"/>
      <c r="F32" s="90"/>
      <c r="I32" s="7"/>
      <c r="J32" s="7"/>
      <c r="K32" s="7"/>
    </row>
    <row r="33" spans="1:11" ht="15.75" customHeight="1" outlineLevel="1" x14ac:dyDescent="0.25">
      <c r="A33" s="106" t="s">
        <v>89</v>
      </c>
      <c r="B33" s="107"/>
      <c r="C33" s="99"/>
      <c r="D33" s="97"/>
      <c r="E33" s="97"/>
      <c r="F33" s="90"/>
      <c r="I33" s="7"/>
      <c r="J33" s="7"/>
      <c r="K33" s="7"/>
    </row>
    <row r="34" spans="1:11" ht="15.75" customHeight="1" outlineLevel="1" x14ac:dyDescent="0.25">
      <c r="A34" s="107" t="s">
        <v>123</v>
      </c>
      <c r="B34" s="107"/>
      <c r="C34" s="99"/>
      <c r="D34" s="97"/>
      <c r="E34" s="97"/>
      <c r="F34" s="90"/>
      <c r="I34" s="7"/>
      <c r="J34" s="7"/>
      <c r="K34" s="7"/>
    </row>
    <row r="35" spans="1:11" ht="15.75" customHeight="1" outlineLevel="1" x14ac:dyDescent="0.25">
      <c r="A35" s="107"/>
      <c r="B35" s="107" t="s">
        <v>122</v>
      </c>
      <c r="C35" s="99" t="s">
        <v>156</v>
      </c>
      <c r="D35" s="97"/>
      <c r="E35" s="97"/>
      <c r="F35" s="90"/>
      <c r="I35" s="7"/>
      <c r="J35" s="7"/>
      <c r="K35" s="7"/>
    </row>
    <row r="36" spans="1:11" ht="15.75" customHeight="1" outlineLevel="1" x14ac:dyDescent="0.25">
      <c r="A36" s="107"/>
      <c r="B36" s="99" t="s">
        <v>129</v>
      </c>
      <c r="C36" s="99" t="s">
        <v>157</v>
      </c>
      <c r="D36" s="97"/>
      <c r="E36" s="97"/>
      <c r="F36" s="110">
        <v>1</v>
      </c>
      <c r="I36" s="7">
        <v>1</v>
      </c>
      <c r="J36" s="88" t="s">
        <v>217</v>
      </c>
      <c r="K36" s="88" t="s">
        <v>57</v>
      </c>
    </row>
    <row r="37" spans="1:11" ht="15.75" customHeight="1" outlineLevel="1" x14ac:dyDescent="0.25">
      <c r="A37" s="107"/>
      <c r="B37" s="107" t="s">
        <v>130</v>
      </c>
      <c r="C37" s="99" t="s">
        <v>158</v>
      </c>
      <c r="D37" s="97"/>
      <c r="E37" s="97"/>
      <c r="F37" s="90"/>
      <c r="I37" s="7"/>
      <c r="J37" s="7"/>
      <c r="K37" s="7"/>
    </row>
    <row r="38" spans="1:11" ht="15.75" customHeight="1" outlineLevel="1" x14ac:dyDescent="0.25">
      <c r="A38" s="107"/>
      <c r="B38" s="107" t="s">
        <v>224</v>
      </c>
      <c r="C38" s="107" t="s">
        <v>160</v>
      </c>
      <c r="D38" s="97"/>
      <c r="E38" s="97"/>
      <c r="F38" s="90"/>
      <c r="I38" s="7"/>
      <c r="J38" s="7"/>
      <c r="K38" s="7"/>
    </row>
    <row r="39" spans="1:11" ht="15.75" customHeight="1" outlineLevel="1" x14ac:dyDescent="0.25">
      <c r="A39" s="107"/>
      <c r="B39" s="99" t="s">
        <v>216</v>
      </c>
      <c r="C39" s="107" t="s">
        <v>159</v>
      </c>
      <c r="D39" s="97"/>
      <c r="E39" s="97"/>
      <c r="F39" s="90"/>
      <c r="I39" s="7"/>
      <c r="J39" s="7"/>
      <c r="K39" s="7"/>
    </row>
    <row r="40" spans="1:11" ht="15.75" customHeight="1" outlineLevel="1" x14ac:dyDescent="0.25">
      <c r="A40" s="107"/>
      <c r="B40" s="107" t="s">
        <v>131</v>
      </c>
      <c r="C40" s="99" t="s">
        <v>161</v>
      </c>
      <c r="D40" s="97"/>
      <c r="E40" s="97"/>
      <c r="F40" s="90"/>
      <c r="I40" s="7"/>
      <c r="J40" s="7"/>
      <c r="K40" s="7"/>
    </row>
    <row r="41" spans="1:11" ht="15.75" customHeight="1" outlineLevel="1" x14ac:dyDescent="0.25">
      <c r="A41" s="107"/>
      <c r="B41" s="107" t="s">
        <v>132</v>
      </c>
      <c r="C41" s="107" t="s">
        <v>162</v>
      </c>
      <c r="D41" s="97"/>
      <c r="E41" s="97"/>
      <c r="F41" s="90"/>
      <c r="I41" s="7"/>
      <c r="J41" s="7"/>
      <c r="K41" s="7"/>
    </row>
    <row r="42" spans="1:11" ht="15.75" customHeight="1" outlineLevel="1" x14ac:dyDescent="0.25">
      <c r="A42" s="107" t="s">
        <v>133</v>
      </c>
      <c r="B42" s="107"/>
      <c r="C42" s="107"/>
      <c r="D42" s="97"/>
      <c r="E42" s="97"/>
      <c r="F42" s="90"/>
      <c r="I42" s="7"/>
      <c r="J42" s="7"/>
      <c r="K42" s="7"/>
    </row>
    <row r="43" spans="1:11" ht="15.75" customHeight="1" outlineLevel="1" x14ac:dyDescent="0.25">
      <c r="A43" s="107"/>
      <c r="B43" s="107" t="s">
        <v>134</v>
      </c>
      <c r="C43" s="107" t="s">
        <v>163</v>
      </c>
      <c r="D43" s="97"/>
      <c r="E43" s="97"/>
      <c r="F43" s="90"/>
      <c r="I43" s="7"/>
      <c r="J43" s="7"/>
      <c r="K43" s="7"/>
    </row>
    <row r="44" spans="1:11" ht="15.75" customHeight="1" outlineLevel="1" x14ac:dyDescent="0.25">
      <c r="A44" s="107"/>
      <c r="B44" s="107" t="s">
        <v>135</v>
      </c>
      <c r="C44" s="107" t="s">
        <v>164</v>
      </c>
      <c r="D44" s="97"/>
      <c r="E44" s="97"/>
      <c r="F44" s="90"/>
      <c r="I44" s="7"/>
      <c r="J44" s="7"/>
      <c r="K44" s="7"/>
    </row>
    <row r="45" spans="1:11" ht="15.75" customHeight="1" outlineLevel="1" x14ac:dyDescent="0.25">
      <c r="A45" s="107"/>
      <c r="B45" s="107" t="s">
        <v>136</v>
      </c>
      <c r="C45" s="107" t="s">
        <v>165</v>
      </c>
      <c r="D45" s="97"/>
      <c r="E45" s="97"/>
      <c r="F45" s="90"/>
      <c r="I45" s="7"/>
      <c r="J45" s="7"/>
      <c r="K45" s="7"/>
    </row>
    <row r="46" spans="1:11" ht="15.75" customHeight="1" outlineLevel="1" x14ac:dyDescent="0.25">
      <c r="A46" s="107"/>
      <c r="B46" s="107" t="s">
        <v>137</v>
      </c>
      <c r="C46" s="107" t="s">
        <v>166</v>
      </c>
      <c r="D46" s="97"/>
      <c r="E46" s="97"/>
      <c r="F46" s="90"/>
      <c r="I46" s="7"/>
      <c r="J46" s="7"/>
      <c r="K46" s="7"/>
    </row>
    <row r="47" spans="1:11" ht="15.75" customHeight="1" outlineLevel="1" x14ac:dyDescent="0.25">
      <c r="A47" s="107"/>
      <c r="B47" s="107" t="s">
        <v>167</v>
      </c>
      <c r="C47" s="99" t="s">
        <v>168</v>
      </c>
      <c r="D47" s="97"/>
      <c r="E47" s="97"/>
      <c r="F47" s="90"/>
      <c r="I47" s="7"/>
      <c r="J47" s="7"/>
      <c r="K47" s="7"/>
    </row>
    <row r="48" spans="1:11" ht="15.75" customHeight="1" outlineLevel="1" x14ac:dyDescent="0.25">
      <c r="A48" s="107"/>
      <c r="B48" s="107" t="s">
        <v>169</v>
      </c>
      <c r="C48" s="107" t="s">
        <v>170</v>
      </c>
      <c r="D48" s="97"/>
      <c r="E48" s="97"/>
      <c r="F48" s="90"/>
      <c r="I48" s="7"/>
      <c r="J48" s="7"/>
      <c r="K48" s="7"/>
    </row>
    <row r="49" spans="1:11" ht="15.75" customHeight="1" outlineLevel="1" x14ac:dyDescent="0.25">
      <c r="A49" s="107"/>
      <c r="B49" s="107" t="s">
        <v>171</v>
      </c>
      <c r="C49" s="107" t="s">
        <v>172</v>
      </c>
      <c r="D49" s="97"/>
      <c r="E49" s="97"/>
      <c r="F49" s="90"/>
      <c r="I49" s="7"/>
      <c r="J49" s="7"/>
      <c r="K49" s="7"/>
    </row>
    <row r="50" spans="1:11" ht="15.75" customHeight="1" x14ac:dyDescent="0.25">
      <c r="A50" s="107"/>
      <c r="B50" s="107" t="s">
        <v>173</v>
      </c>
      <c r="C50" s="107" t="s">
        <v>174</v>
      </c>
      <c r="D50" s="97"/>
      <c r="E50" s="97"/>
      <c r="F50" s="90"/>
      <c r="I50" s="7"/>
      <c r="J50" s="7"/>
      <c r="K50" s="7"/>
    </row>
    <row r="51" spans="1:11" ht="15.75" customHeight="1" outlineLevel="1" x14ac:dyDescent="0.25">
      <c r="A51" s="107" t="s">
        <v>175</v>
      </c>
      <c r="B51" s="107"/>
      <c r="C51" s="108"/>
      <c r="D51" s="97"/>
      <c r="E51" s="97"/>
      <c r="F51" s="103"/>
      <c r="I51" s="7"/>
      <c r="J51" s="7"/>
      <c r="K51" s="7"/>
    </row>
    <row r="52" spans="1:11" ht="15.75" customHeight="1" outlineLevel="1" x14ac:dyDescent="0.25">
      <c r="A52" s="107"/>
      <c r="B52" s="107" t="s">
        <v>176</v>
      </c>
      <c r="C52" s="99" t="s">
        <v>177</v>
      </c>
      <c r="D52" s="97"/>
      <c r="E52" s="97"/>
      <c r="F52" s="90"/>
      <c r="I52" s="7"/>
      <c r="J52" s="7"/>
      <c r="K52" s="7"/>
    </row>
    <row r="53" spans="1:11" ht="15.75" customHeight="1" outlineLevel="1" x14ac:dyDescent="0.25">
      <c r="A53" s="107"/>
      <c r="B53" s="107" t="s">
        <v>178</v>
      </c>
      <c r="C53" s="107" t="s">
        <v>179</v>
      </c>
      <c r="D53" s="97"/>
      <c r="E53" s="97"/>
      <c r="F53" s="90"/>
      <c r="I53" s="7"/>
      <c r="J53" s="7"/>
      <c r="K53" s="7"/>
    </row>
    <row r="54" spans="1:11" ht="15.75" customHeight="1" x14ac:dyDescent="0.25">
      <c r="A54" s="109"/>
      <c r="B54" s="107" t="s">
        <v>180</v>
      </c>
      <c r="C54" s="107" t="s">
        <v>181</v>
      </c>
      <c r="D54" s="97"/>
      <c r="E54" s="97"/>
      <c r="F54" s="90"/>
      <c r="I54" s="7"/>
      <c r="J54" s="7"/>
      <c r="K54" s="7"/>
    </row>
    <row r="55" spans="1:11" ht="15.75" customHeight="1" outlineLevel="1" x14ac:dyDescent="0.25">
      <c r="A55" s="109"/>
      <c r="B55" s="107" t="s">
        <v>182</v>
      </c>
      <c r="C55" s="107" t="s">
        <v>183</v>
      </c>
      <c r="D55" s="97"/>
      <c r="E55" s="97"/>
      <c r="F55" s="103"/>
      <c r="I55" s="7"/>
      <c r="J55" s="7"/>
      <c r="K55" s="7"/>
    </row>
    <row r="56" spans="1:11" ht="15.75" customHeight="1" outlineLevel="1" x14ac:dyDescent="0.25">
      <c r="A56" s="109"/>
      <c r="B56" s="107" t="s">
        <v>184</v>
      </c>
      <c r="C56" s="107" t="s">
        <v>185</v>
      </c>
      <c r="D56" s="97"/>
      <c r="E56" s="97"/>
      <c r="F56" s="103"/>
      <c r="I56" s="7"/>
      <c r="J56" s="7"/>
      <c r="K56" s="7"/>
    </row>
    <row r="57" spans="1:11" ht="15.75" customHeight="1" outlineLevel="1" x14ac:dyDescent="0.25">
      <c r="A57" s="109"/>
      <c r="B57" s="107" t="s">
        <v>186</v>
      </c>
      <c r="C57" s="107" t="s">
        <v>187</v>
      </c>
      <c r="D57" s="97"/>
      <c r="E57" s="97"/>
      <c r="F57" s="90"/>
      <c r="I57" s="7"/>
      <c r="J57" s="7"/>
      <c r="K57" s="7"/>
    </row>
    <row r="58" spans="1:11" ht="15.75" customHeight="1" outlineLevel="1" x14ac:dyDescent="0.25">
      <c r="A58" s="109"/>
      <c r="B58" s="107" t="s">
        <v>188</v>
      </c>
      <c r="C58" s="107" t="s">
        <v>189</v>
      </c>
      <c r="D58" s="97"/>
      <c r="E58" s="97"/>
      <c r="F58" s="90"/>
      <c r="I58" s="7"/>
      <c r="J58" s="7"/>
      <c r="K58" s="7"/>
    </row>
    <row r="59" spans="1:11" ht="15.75" customHeight="1" outlineLevel="1" x14ac:dyDescent="0.25">
      <c r="A59" s="109"/>
      <c r="B59" s="107" t="s">
        <v>190</v>
      </c>
      <c r="C59" s="107" t="s">
        <v>191</v>
      </c>
      <c r="D59" s="97"/>
      <c r="E59" s="97"/>
      <c r="F59" s="90"/>
      <c r="I59" s="7"/>
      <c r="J59" s="7"/>
      <c r="K59" s="7"/>
    </row>
    <row r="60" spans="1:11" ht="15.75" customHeight="1" x14ac:dyDescent="0.25">
      <c r="A60" s="109"/>
      <c r="B60" s="107" t="s">
        <v>192</v>
      </c>
      <c r="C60" s="107" t="s">
        <v>193</v>
      </c>
      <c r="D60" s="97"/>
      <c r="E60" s="97"/>
      <c r="F60" s="103"/>
      <c r="I60" s="7"/>
      <c r="J60" s="7"/>
      <c r="K60" s="7"/>
    </row>
    <row r="61" spans="1:11" ht="15.75" customHeight="1" x14ac:dyDescent="0.25">
      <c r="A61" s="96" t="s">
        <v>90</v>
      </c>
      <c r="B61" s="97"/>
      <c r="C61" s="97"/>
      <c r="D61" s="97"/>
      <c r="E61" s="97"/>
      <c r="F61" s="103"/>
      <c r="I61" s="7"/>
      <c r="J61" s="7"/>
      <c r="K61" s="7"/>
    </row>
    <row r="62" spans="1:11" ht="15.75" customHeight="1" outlineLevel="1" x14ac:dyDescent="0.25">
      <c r="A62" s="98" t="s">
        <v>205</v>
      </c>
      <c r="B62" s="97"/>
      <c r="C62" s="97"/>
      <c r="D62" s="97"/>
      <c r="E62" s="97"/>
      <c r="F62" s="90"/>
      <c r="I62" s="7"/>
      <c r="J62" s="7"/>
      <c r="K62" s="7"/>
    </row>
    <row r="63" spans="1:11" ht="15.75" customHeight="1" outlineLevel="1" x14ac:dyDescent="0.25">
      <c r="A63" s="101"/>
      <c r="B63" s="97" t="s">
        <v>194</v>
      </c>
      <c r="C63" s="97" t="s">
        <v>195</v>
      </c>
      <c r="D63" s="97"/>
      <c r="E63" s="97"/>
      <c r="F63" s="90"/>
      <c r="I63" s="7"/>
      <c r="J63" s="7"/>
      <c r="K63" s="7"/>
    </row>
    <row r="64" spans="1:11" ht="15.75" customHeight="1" outlineLevel="1" x14ac:dyDescent="0.25">
      <c r="A64" s="101"/>
      <c r="B64" s="97" t="s">
        <v>196</v>
      </c>
      <c r="C64" s="97" t="s">
        <v>197</v>
      </c>
      <c r="D64" s="97"/>
      <c r="E64" s="97"/>
      <c r="F64" s="90"/>
      <c r="I64" s="7"/>
      <c r="J64" s="7"/>
      <c r="K64" s="7"/>
    </row>
    <row r="65" spans="1:11" ht="15.75" customHeight="1" outlineLevel="1" x14ac:dyDescent="0.25">
      <c r="A65" s="101"/>
      <c r="B65" s="97" t="s">
        <v>198</v>
      </c>
      <c r="C65" s="97" t="s">
        <v>199</v>
      </c>
      <c r="D65" s="97"/>
      <c r="E65" s="97"/>
      <c r="F65" s="110">
        <v>2</v>
      </c>
      <c r="I65" s="7">
        <v>2</v>
      </c>
      <c r="J65" s="88" t="s">
        <v>219</v>
      </c>
      <c r="K65" s="88" t="s">
        <v>27</v>
      </c>
    </row>
    <row r="66" spans="1:11" ht="15.75" customHeight="1" outlineLevel="1" x14ac:dyDescent="0.25">
      <c r="A66" s="101"/>
      <c r="B66" s="97" t="s">
        <v>200</v>
      </c>
      <c r="C66" s="97" t="s">
        <v>201</v>
      </c>
      <c r="D66" s="97"/>
      <c r="E66" s="97"/>
      <c r="F66" s="90"/>
      <c r="I66" s="7"/>
      <c r="J66" s="7"/>
      <c r="K66" s="7"/>
    </row>
    <row r="67" spans="1:11" ht="15.75" customHeight="1" outlineLevel="1" x14ac:dyDescent="0.25">
      <c r="A67" s="101"/>
      <c r="B67" s="97" t="s">
        <v>202</v>
      </c>
      <c r="C67" s="97" t="s">
        <v>203</v>
      </c>
      <c r="D67" s="97"/>
      <c r="E67" s="97"/>
      <c r="F67" s="90"/>
      <c r="I67" s="7"/>
      <c r="J67" s="7"/>
      <c r="K67" s="7"/>
    </row>
    <row r="68" spans="1:11" ht="15.75" customHeight="1" outlineLevel="1" x14ac:dyDescent="0.25">
      <c r="A68" s="98" t="s">
        <v>204</v>
      </c>
      <c r="B68" s="97"/>
      <c r="C68" s="97"/>
      <c r="D68" s="97"/>
      <c r="E68" s="97"/>
      <c r="F68" s="90"/>
      <c r="I68" s="7"/>
      <c r="J68" s="7"/>
      <c r="K68" s="7"/>
    </row>
    <row r="69" spans="1:11" ht="15.75" customHeight="1" outlineLevel="1" x14ac:dyDescent="0.25">
      <c r="A69" s="101"/>
      <c r="B69" s="97" t="s">
        <v>206</v>
      </c>
      <c r="C69" s="97" t="s">
        <v>207</v>
      </c>
      <c r="D69" s="97"/>
      <c r="E69" s="97"/>
      <c r="F69" s="90"/>
      <c r="I69" s="7"/>
      <c r="J69" s="7"/>
      <c r="K69" s="7"/>
    </row>
    <row r="70" spans="1:11" ht="15.75" customHeight="1" outlineLevel="1" x14ac:dyDescent="0.25">
      <c r="A70" s="101"/>
      <c r="B70" s="97" t="s">
        <v>208</v>
      </c>
      <c r="C70" s="97" t="s">
        <v>209</v>
      </c>
      <c r="D70" s="97"/>
      <c r="E70" s="97"/>
      <c r="F70" s="90"/>
      <c r="I70" s="7"/>
      <c r="J70" s="7"/>
      <c r="K70" s="7"/>
    </row>
    <row r="71" spans="1:11" ht="15.75" customHeight="1" outlineLevel="1" x14ac:dyDescent="0.25">
      <c r="A71" s="101"/>
      <c r="B71" s="97" t="s">
        <v>210</v>
      </c>
      <c r="C71" s="97" t="s">
        <v>211</v>
      </c>
      <c r="D71" s="97"/>
      <c r="E71" s="97"/>
      <c r="F71" s="90"/>
      <c r="I71" s="7"/>
      <c r="J71" s="7"/>
      <c r="K71" s="7"/>
    </row>
    <row r="72" spans="1:11" ht="15.75" customHeight="1" outlineLevel="1" x14ac:dyDescent="0.25">
      <c r="A72" s="101"/>
      <c r="B72" s="97" t="s">
        <v>212</v>
      </c>
      <c r="C72" s="97" t="s">
        <v>213</v>
      </c>
      <c r="D72" s="97"/>
      <c r="E72" s="97"/>
      <c r="F72" s="90"/>
      <c r="I72" s="7"/>
      <c r="J72" s="7"/>
      <c r="K72" s="7"/>
    </row>
    <row r="73" spans="1:11" ht="15.75" customHeight="1" outlineLevel="1" x14ac:dyDescent="0.25">
      <c r="A73" s="101"/>
      <c r="B73" s="97" t="s">
        <v>214</v>
      </c>
      <c r="C73" s="100" t="s">
        <v>215</v>
      </c>
      <c r="D73" s="97"/>
      <c r="E73" s="97"/>
      <c r="F73" s="90"/>
      <c r="I73" s="7"/>
      <c r="J73" s="7"/>
      <c r="K73" s="7"/>
    </row>
    <row r="74" spans="1:11" ht="15.75" customHeight="1" outlineLevel="1" x14ac:dyDescent="0.25">
      <c r="A74" s="97"/>
      <c r="B74" s="97"/>
      <c r="C74" s="97"/>
      <c r="D74" s="97"/>
      <c r="E74" s="97"/>
      <c r="F74" s="90"/>
      <c r="I74" s="7"/>
      <c r="J74" s="7"/>
      <c r="K74" s="7"/>
    </row>
    <row r="75" spans="1:11" ht="15.75" customHeight="1" outlineLevel="1" x14ac:dyDescent="0.25">
      <c r="A75" s="97"/>
      <c r="B75" s="97"/>
      <c r="C75" s="97"/>
      <c r="D75" s="97"/>
      <c r="E75" s="97"/>
      <c r="F75" s="90"/>
      <c r="I75" s="7"/>
      <c r="J75" s="7"/>
      <c r="K75" s="7"/>
    </row>
    <row r="76" spans="1:11" ht="15.75" customHeight="1" outlineLevel="1" x14ac:dyDescent="0.25">
      <c r="A76" s="97"/>
      <c r="B76" s="97"/>
      <c r="C76" s="97"/>
      <c r="D76" s="97"/>
      <c r="E76" s="97"/>
      <c r="F76" s="90"/>
      <c r="I76" s="7"/>
      <c r="J76" s="7"/>
      <c r="K76" s="7"/>
    </row>
    <row r="77" spans="1:11" ht="15.75" customHeight="1" outlineLevel="1" x14ac:dyDescent="0.25">
      <c r="A77" s="97"/>
      <c r="B77" s="97"/>
      <c r="C77" s="97"/>
      <c r="D77" s="97"/>
      <c r="E77" s="97"/>
      <c r="F77" s="90"/>
      <c r="I77" s="7"/>
      <c r="J77" s="7"/>
      <c r="K77" s="7"/>
    </row>
    <row r="78" spans="1:11" ht="15.75" customHeight="1" outlineLevel="1" x14ac:dyDescent="0.25">
      <c r="A78" s="97"/>
      <c r="B78" s="97"/>
      <c r="C78" s="97"/>
      <c r="D78" s="97"/>
      <c r="E78" s="97"/>
      <c r="F78" s="90"/>
      <c r="I78" s="7"/>
      <c r="J78" s="7"/>
      <c r="K78" s="7"/>
    </row>
    <row r="79" spans="1:11" ht="15.75" customHeight="1" outlineLevel="1" x14ac:dyDescent="0.25">
      <c r="A79" s="97"/>
      <c r="B79" s="97"/>
      <c r="C79" s="97"/>
      <c r="D79" s="97"/>
      <c r="E79" s="97"/>
      <c r="F79" s="90"/>
      <c r="I79" s="7"/>
      <c r="J79" s="7"/>
      <c r="K79" s="7"/>
    </row>
    <row r="80" spans="1:11" ht="15.75" customHeight="1" outlineLevel="1" x14ac:dyDescent="0.25">
      <c r="A80" s="97"/>
      <c r="B80" s="97"/>
      <c r="C80" s="97"/>
      <c r="D80" s="97"/>
      <c r="E80" s="97"/>
      <c r="F80" s="90"/>
      <c r="I80" s="7"/>
      <c r="J80" s="7"/>
      <c r="K80" s="7"/>
    </row>
    <row r="81" spans="1:11" ht="15.75" customHeight="1" outlineLevel="1" x14ac:dyDescent="0.25">
      <c r="A81" s="97"/>
      <c r="B81" s="97"/>
      <c r="C81" s="97"/>
      <c r="D81" s="97"/>
      <c r="E81" s="97"/>
      <c r="F81" s="90"/>
      <c r="I81" s="7"/>
      <c r="J81" s="7"/>
      <c r="K81" s="7"/>
    </row>
    <row r="82" spans="1:11" ht="15.75" customHeight="1" outlineLevel="1" x14ac:dyDescent="0.25">
      <c r="A82" s="97"/>
      <c r="B82" s="97"/>
      <c r="C82" s="97"/>
      <c r="D82" s="97"/>
      <c r="E82" s="97"/>
      <c r="F82" s="90"/>
      <c r="I82" s="7"/>
      <c r="J82" s="7"/>
      <c r="K82" s="7"/>
    </row>
    <row r="83" spans="1:11" ht="15.75" customHeight="1" outlineLevel="1" x14ac:dyDescent="0.25">
      <c r="A83" s="97"/>
      <c r="B83" s="97"/>
      <c r="C83" s="97"/>
      <c r="D83" s="97"/>
      <c r="E83" s="97"/>
      <c r="F83" s="90"/>
      <c r="I83" s="7"/>
      <c r="J83" s="7"/>
      <c r="K83" s="7"/>
    </row>
    <row r="84" spans="1:11" ht="15.75" customHeight="1" outlineLevel="1" x14ac:dyDescent="0.25">
      <c r="D84" s="97"/>
      <c r="E84" s="97"/>
      <c r="F84" s="90"/>
      <c r="I84" s="7"/>
      <c r="J84" s="7"/>
      <c r="K84" s="7"/>
    </row>
    <row r="85" spans="1:11" ht="15.75" customHeight="1" outlineLevel="1" x14ac:dyDescent="0.25">
      <c r="A85" s="102"/>
      <c r="B85" s="97"/>
      <c r="C85" s="97"/>
      <c r="D85" s="97"/>
      <c r="E85" s="97"/>
      <c r="F85" s="90"/>
      <c r="I85" s="7"/>
      <c r="J85" s="7"/>
      <c r="K85" s="7"/>
    </row>
    <row r="86" spans="1:11" ht="15.75" customHeight="1" outlineLevel="1" x14ac:dyDescent="0.25">
      <c r="A86" s="101"/>
      <c r="B86" s="97"/>
      <c r="C86" s="97"/>
      <c r="D86" s="97"/>
      <c r="E86" s="97"/>
      <c r="F86" s="90"/>
      <c r="I86" s="7"/>
      <c r="J86" s="7"/>
      <c r="K86" s="7"/>
    </row>
    <row r="87" spans="1:11" ht="15.75" customHeight="1" outlineLevel="1" x14ac:dyDescent="0.25">
      <c r="A87" s="101"/>
      <c r="B87" s="97"/>
      <c r="C87" s="97"/>
      <c r="D87" s="97"/>
      <c r="E87" s="97"/>
      <c r="F87" s="90"/>
      <c r="I87" s="7"/>
      <c r="J87" s="7"/>
      <c r="K87" s="7"/>
    </row>
    <row r="88" spans="1:11" ht="18.75" customHeight="1" x14ac:dyDescent="0.25">
      <c r="A88" s="101"/>
      <c r="B88" s="97"/>
      <c r="C88" s="97"/>
      <c r="D88" s="97"/>
      <c r="E88" s="97"/>
      <c r="F88" s="103"/>
      <c r="I88" s="7"/>
      <c r="J88" s="7"/>
      <c r="K88" s="7"/>
    </row>
    <row r="89" spans="1:11" ht="15.75" customHeight="1" outlineLevel="1" x14ac:dyDescent="0.25">
      <c r="A89" s="101"/>
      <c r="B89" s="97"/>
      <c r="C89" s="97"/>
      <c r="D89" s="97"/>
      <c r="E89" s="97"/>
      <c r="F89" s="90"/>
      <c r="I89" s="7"/>
      <c r="J89" s="7"/>
      <c r="K89" s="7"/>
    </row>
    <row r="90" spans="1:11" ht="15.75" customHeight="1" outlineLevel="1" x14ac:dyDescent="0.25">
      <c r="A90" s="94"/>
      <c r="B90" s="95"/>
      <c r="C90" s="95"/>
      <c r="D90" s="95"/>
      <c r="E90" s="95"/>
      <c r="F90" s="25"/>
      <c r="I90" s="7"/>
      <c r="J90" s="7"/>
      <c r="K90" s="7"/>
    </row>
    <row r="91" spans="1:11" ht="15.75" customHeight="1" outlineLevel="1" x14ac:dyDescent="0.25">
      <c r="A91" s="7"/>
      <c r="B91" s="7"/>
      <c r="C91" s="7"/>
      <c r="D91" s="7"/>
      <c r="E91" s="7"/>
      <c r="F91" s="25"/>
      <c r="I91" s="7"/>
      <c r="J91" s="7"/>
      <c r="K91" s="7"/>
    </row>
    <row r="92" spans="1:11" ht="15.75" customHeight="1" outlineLevel="1" x14ac:dyDescent="0.25">
      <c r="A92" s="7"/>
      <c r="B92" s="7"/>
      <c r="C92" s="7"/>
      <c r="D92" s="7"/>
      <c r="E92" s="7"/>
      <c r="F92" s="25"/>
      <c r="I92" s="7"/>
      <c r="J92" s="7"/>
      <c r="K92" s="7"/>
    </row>
    <row r="93" spans="1:11" ht="15.75" customHeight="1" outlineLevel="1" x14ac:dyDescent="0.25">
      <c r="A93" s="7"/>
      <c r="B93" s="7"/>
      <c r="C93" s="7"/>
      <c r="D93" s="7"/>
      <c r="E93" s="7"/>
      <c r="F93" s="25"/>
      <c r="I93" s="7"/>
      <c r="J93" s="7"/>
      <c r="K93" s="7"/>
    </row>
    <row r="94" spans="1:11" ht="15.75" customHeight="1" outlineLevel="1" x14ac:dyDescent="0.25">
      <c r="A94" s="7"/>
      <c r="B94" s="7"/>
      <c r="C94" s="7"/>
      <c r="D94" s="7"/>
      <c r="E94" s="7"/>
      <c r="F94" s="25"/>
      <c r="I94" s="7"/>
      <c r="J94" s="7"/>
      <c r="K94" s="7"/>
    </row>
    <row r="95" spans="1:11" ht="15.75" customHeight="1" x14ac:dyDescent="0.25">
      <c r="A95" s="7"/>
      <c r="B95" s="7"/>
      <c r="C95" s="7"/>
      <c r="D95" s="7"/>
      <c r="E95" s="7"/>
      <c r="F95" s="104"/>
      <c r="I95" s="7"/>
      <c r="J95" s="7"/>
      <c r="K95" s="7"/>
    </row>
    <row r="96" spans="1:11" ht="15.75" customHeight="1" outlineLevel="1" x14ac:dyDescent="0.25">
      <c r="A96" s="7"/>
      <c r="B96" s="7"/>
      <c r="C96" s="7"/>
      <c r="D96" s="7"/>
      <c r="E96" s="7"/>
      <c r="F96" s="25"/>
      <c r="I96" s="7"/>
      <c r="J96" s="7"/>
      <c r="K96" s="7"/>
    </row>
    <row r="97" spans="1:11" ht="15.75" customHeight="1" outlineLevel="1" x14ac:dyDescent="0.25">
      <c r="A97" s="7"/>
      <c r="B97" s="7"/>
      <c r="C97" s="7"/>
      <c r="D97" s="7"/>
      <c r="E97" s="7"/>
      <c r="F97" s="104"/>
      <c r="I97" s="7"/>
      <c r="J97" s="7"/>
      <c r="K97" s="7"/>
    </row>
    <row r="98" spans="1:11" ht="15.75" customHeight="1" outlineLevel="1" x14ac:dyDescent="0.25">
      <c r="A98" s="7"/>
      <c r="B98" s="7"/>
      <c r="C98" s="7"/>
      <c r="D98" s="7"/>
      <c r="E98" s="7"/>
      <c r="F98" s="25"/>
      <c r="I98" s="7"/>
      <c r="J98" s="7"/>
      <c r="K98" s="7"/>
    </row>
    <row r="99" spans="1:11" ht="15.75" customHeight="1" outlineLevel="1" x14ac:dyDescent="0.25">
      <c r="A99" s="7"/>
      <c r="B99" s="7"/>
      <c r="C99" s="7"/>
      <c r="D99" s="7"/>
      <c r="E99" s="7"/>
      <c r="F99" s="25"/>
      <c r="I99" s="7"/>
      <c r="J99" s="7"/>
      <c r="K99" s="7"/>
    </row>
    <row r="100" spans="1:11" ht="15.75" customHeight="1" outlineLevel="1" x14ac:dyDescent="0.25">
      <c r="A100" s="7"/>
      <c r="B100" s="7"/>
      <c r="C100" s="7"/>
      <c r="D100" s="7"/>
      <c r="E100" s="7"/>
      <c r="F100" s="25"/>
      <c r="I100" s="7"/>
      <c r="J100" s="7"/>
      <c r="K100" s="7"/>
    </row>
    <row r="101" spans="1:11" ht="15.75" customHeight="1" outlineLevel="1" x14ac:dyDescent="0.25">
      <c r="A101" s="7"/>
      <c r="B101" s="7"/>
      <c r="C101" s="7"/>
      <c r="D101" s="7"/>
      <c r="E101" s="7"/>
      <c r="F101" s="25"/>
      <c r="I101" s="7"/>
      <c r="J101" s="7"/>
      <c r="K101" s="7"/>
    </row>
    <row r="102" spans="1:11" ht="15.75" customHeight="1" outlineLevel="1" x14ac:dyDescent="0.25">
      <c r="A102" s="7"/>
      <c r="B102" s="7"/>
      <c r="C102" s="7"/>
      <c r="D102" s="7"/>
      <c r="E102" s="7"/>
      <c r="F102" s="25"/>
      <c r="I102" s="7"/>
      <c r="J102" s="7"/>
      <c r="K102" s="7"/>
    </row>
    <row r="103" spans="1:11" ht="15.75" customHeight="1" outlineLevel="1" x14ac:dyDescent="0.25">
      <c r="A103" s="7"/>
      <c r="B103" s="7"/>
      <c r="C103" s="7"/>
      <c r="D103" s="7"/>
      <c r="E103" s="7"/>
      <c r="F103" s="25"/>
      <c r="I103" s="7"/>
      <c r="J103" s="7"/>
      <c r="K103" s="7"/>
    </row>
    <row r="104" spans="1:11" ht="15.75" customHeight="1" outlineLevel="1" x14ac:dyDescent="0.25">
      <c r="A104" s="7"/>
      <c r="B104" s="7"/>
      <c r="C104" s="7"/>
      <c r="D104" s="7"/>
      <c r="E104" s="7"/>
      <c r="F104" s="25"/>
      <c r="I104" s="7"/>
      <c r="J104" s="7"/>
      <c r="K104" s="7"/>
    </row>
    <row r="105" spans="1:11" ht="15.75" customHeight="1" outlineLevel="1" x14ac:dyDescent="0.25">
      <c r="A105" s="7"/>
      <c r="B105" s="7"/>
      <c r="C105" s="7"/>
      <c r="D105" s="7"/>
      <c r="E105" s="7"/>
      <c r="F105" s="104"/>
      <c r="I105" s="7"/>
      <c r="J105" s="7"/>
      <c r="K105" s="7"/>
    </row>
    <row r="106" spans="1:11" ht="15.75" customHeight="1" outlineLevel="1" x14ac:dyDescent="0.25">
      <c r="A106" s="7"/>
      <c r="B106" s="7"/>
      <c r="C106" s="7"/>
      <c r="D106" s="7"/>
      <c r="E106" s="7"/>
      <c r="F106" s="25"/>
      <c r="I106" s="7"/>
      <c r="J106" s="7"/>
      <c r="K106" s="7"/>
    </row>
    <row r="107" spans="1:11" ht="15.75" customHeight="1" outlineLevel="1" x14ac:dyDescent="0.25">
      <c r="A107" s="7"/>
      <c r="B107" s="7"/>
      <c r="C107" s="7"/>
      <c r="D107" s="7"/>
      <c r="E107" s="7"/>
      <c r="F107" s="25"/>
      <c r="I107" s="7"/>
      <c r="J107" s="7"/>
      <c r="K107" s="7"/>
    </row>
    <row r="108" spans="1:11" ht="15.75" customHeight="1" outlineLevel="1" x14ac:dyDescent="0.25">
      <c r="A108" s="7"/>
      <c r="B108" s="7"/>
      <c r="C108" s="7"/>
      <c r="D108" s="7"/>
      <c r="E108" s="7"/>
      <c r="F108" s="25"/>
      <c r="I108" s="7"/>
      <c r="J108" s="7"/>
      <c r="K108" s="7"/>
    </row>
    <row r="109" spans="1:11" ht="15.75" customHeight="1" outlineLevel="1" x14ac:dyDescent="0.25">
      <c r="A109" s="7"/>
      <c r="B109" s="7"/>
      <c r="C109" s="7"/>
      <c r="D109" s="7"/>
      <c r="E109" s="7"/>
      <c r="F109" s="25"/>
      <c r="I109" s="7"/>
      <c r="J109" s="7"/>
      <c r="K109" s="7"/>
    </row>
    <row r="110" spans="1:11" ht="15.75" customHeight="1" outlineLevel="1" x14ac:dyDescent="0.25">
      <c r="A110" s="7"/>
      <c r="B110" s="7"/>
      <c r="C110" s="7"/>
      <c r="D110" s="7"/>
      <c r="E110" s="7"/>
      <c r="F110" s="25"/>
      <c r="I110" s="7"/>
      <c r="J110" s="7"/>
      <c r="K110" s="7"/>
    </row>
    <row r="111" spans="1:11" ht="15.75" customHeight="1" outlineLevel="1" x14ac:dyDescent="0.25">
      <c r="A111" s="7"/>
      <c r="B111" s="7"/>
      <c r="C111" s="7"/>
      <c r="D111" s="7"/>
      <c r="E111" s="7"/>
      <c r="F111" s="104"/>
      <c r="I111" s="7"/>
      <c r="J111" s="7"/>
      <c r="K111" s="7"/>
    </row>
    <row r="112" spans="1:11" ht="15.75" customHeight="1" outlineLevel="1" x14ac:dyDescent="0.25">
      <c r="A112" s="7"/>
      <c r="B112" s="7"/>
      <c r="C112" s="7"/>
      <c r="D112" s="7"/>
      <c r="E112" s="7"/>
      <c r="F112" s="104"/>
      <c r="I112" s="7"/>
      <c r="J112" s="7"/>
      <c r="K112" s="7"/>
    </row>
    <row r="113" spans="1:11" ht="15.75" customHeight="1" outlineLevel="1" x14ac:dyDescent="0.25">
      <c r="A113" s="7"/>
      <c r="B113" s="7"/>
      <c r="C113" s="7"/>
      <c r="D113" s="7"/>
      <c r="E113" s="7"/>
      <c r="F113" s="104"/>
      <c r="I113" s="7"/>
      <c r="J113" s="7"/>
      <c r="K113" s="7"/>
    </row>
    <row r="114" spans="1:11" ht="15.75" customHeight="1" outlineLevel="1" x14ac:dyDescent="0.25">
      <c r="A114" s="7"/>
      <c r="B114" s="7"/>
      <c r="C114" s="7"/>
      <c r="D114" s="7"/>
      <c r="E114" s="7"/>
      <c r="F114" s="104"/>
      <c r="I114" s="7"/>
      <c r="J114" s="7"/>
      <c r="K114" s="7"/>
    </row>
    <row r="115" spans="1:11" ht="15.75" customHeight="1" outlineLevel="1" x14ac:dyDescent="0.25">
      <c r="A115" s="7"/>
      <c r="B115" s="7"/>
      <c r="C115" s="7"/>
      <c r="D115" s="7"/>
      <c r="E115" s="7"/>
      <c r="F115" s="25"/>
      <c r="I115" s="7"/>
      <c r="J115" s="7"/>
      <c r="K115" s="7"/>
    </row>
    <row r="116" spans="1:11" ht="15.75" customHeight="1" outlineLevel="1" x14ac:dyDescent="0.25">
      <c r="A116" s="7"/>
      <c r="B116" s="7"/>
      <c r="C116" s="7"/>
      <c r="D116" s="7"/>
      <c r="E116" s="7"/>
      <c r="F116" s="25"/>
      <c r="I116" s="7"/>
      <c r="J116" s="7"/>
      <c r="K116" s="7"/>
    </row>
    <row r="117" spans="1:11" ht="15.75" customHeight="1" x14ac:dyDescent="0.25">
      <c r="C117" s="7"/>
      <c r="F117" s="105"/>
    </row>
    <row r="118" spans="1:11" ht="15.75" hidden="1" customHeight="1" outlineLevel="1" x14ac:dyDescent="0.25">
      <c r="A118" s="7"/>
      <c r="B118" s="7"/>
      <c r="C118" s="7"/>
      <c r="D118" s="7"/>
      <c r="E118" s="7"/>
      <c r="F118" s="104"/>
      <c r="I118" s="7"/>
      <c r="J118" s="7"/>
      <c r="K118" s="7"/>
    </row>
    <row r="119" spans="1:11" ht="15.75" hidden="1" customHeight="1" outlineLevel="1" x14ac:dyDescent="0.25">
      <c r="A119" s="7"/>
      <c r="B119" s="7"/>
      <c r="C119" s="7"/>
      <c r="D119" s="7"/>
      <c r="E119" s="7"/>
      <c r="F119" s="25"/>
      <c r="I119" s="7"/>
      <c r="J119" s="7"/>
      <c r="K119" s="7"/>
    </row>
    <row r="120" spans="1:11" ht="15.75" hidden="1" customHeight="1" outlineLevel="1" x14ac:dyDescent="0.25">
      <c r="A120" s="7"/>
      <c r="B120" s="7"/>
      <c r="C120" s="7"/>
      <c r="D120" s="7"/>
      <c r="E120" s="7"/>
      <c r="F120" s="25"/>
      <c r="I120" s="7"/>
      <c r="J120" s="7"/>
      <c r="K120" s="7"/>
    </row>
    <row r="121" spans="1:11" ht="15.75" hidden="1" customHeight="1" outlineLevel="1" x14ac:dyDescent="0.25">
      <c r="A121" s="7"/>
      <c r="B121" s="7"/>
      <c r="C121" s="7"/>
      <c r="D121" s="7"/>
      <c r="E121" s="7"/>
      <c r="F121" s="25"/>
      <c r="I121" s="7"/>
      <c r="J121" s="7"/>
      <c r="K121" s="7"/>
    </row>
    <row r="122" spans="1:11" ht="15.75" hidden="1" customHeight="1" outlineLevel="1" x14ac:dyDescent="0.25">
      <c r="A122" s="7"/>
      <c r="B122" s="7"/>
      <c r="C122" s="7"/>
      <c r="D122" s="7"/>
      <c r="E122" s="7"/>
      <c r="F122" s="25"/>
      <c r="I122" s="7"/>
      <c r="J122" s="7"/>
      <c r="K122" s="7"/>
    </row>
    <row r="123" spans="1:11" ht="15.75" hidden="1" customHeight="1" outlineLevel="1" x14ac:dyDescent="0.25">
      <c r="A123" s="7"/>
      <c r="B123" s="7"/>
      <c r="C123" s="7"/>
      <c r="D123" s="7"/>
      <c r="E123" s="7"/>
      <c r="F123" s="25"/>
      <c r="I123" s="7"/>
      <c r="J123" s="7"/>
      <c r="K123" s="7"/>
    </row>
    <row r="124" spans="1:11" ht="15.75" hidden="1" customHeight="1" outlineLevel="1" x14ac:dyDescent="0.25">
      <c r="A124" s="7"/>
      <c r="B124" s="7"/>
      <c r="C124" s="7"/>
      <c r="D124" s="7"/>
      <c r="E124" s="7"/>
      <c r="F124" s="25"/>
      <c r="I124" s="7"/>
      <c r="J124" s="7"/>
      <c r="K124" s="7"/>
    </row>
    <row r="125" spans="1:11" ht="15.75" hidden="1" customHeight="1" outlineLevel="1" x14ac:dyDescent="0.25">
      <c r="A125" s="7"/>
      <c r="B125" s="7"/>
      <c r="C125" s="7"/>
      <c r="D125" s="7"/>
      <c r="E125" s="7"/>
      <c r="F125" s="25"/>
      <c r="I125" s="7"/>
      <c r="J125" s="7"/>
      <c r="K125" s="7"/>
    </row>
    <row r="126" spans="1:11" ht="15.75" customHeight="1" collapsed="1" x14ac:dyDescent="0.25">
      <c r="A126" s="7"/>
      <c r="B126" s="7"/>
      <c r="C126" s="7"/>
      <c r="D126" s="7"/>
      <c r="E126" s="7"/>
      <c r="F126" s="104"/>
      <c r="I126" s="7"/>
      <c r="J126" s="7"/>
      <c r="K126" s="7"/>
    </row>
    <row r="127" spans="1:11" ht="15.75" hidden="1" customHeight="1" outlineLevel="1" x14ac:dyDescent="0.25">
      <c r="A127" s="7"/>
      <c r="B127" s="7"/>
      <c r="C127" s="7"/>
      <c r="D127" s="7"/>
      <c r="E127" s="7"/>
      <c r="F127" s="104"/>
      <c r="I127" s="7"/>
      <c r="J127" s="7"/>
      <c r="K127" s="7"/>
    </row>
    <row r="128" spans="1:11" ht="15.75" hidden="1" customHeight="1" outlineLevel="1" x14ac:dyDescent="0.25">
      <c r="A128" s="7"/>
      <c r="B128" s="7"/>
      <c r="C128" s="7"/>
      <c r="D128" s="7"/>
      <c r="E128" s="7"/>
      <c r="F128" s="104"/>
      <c r="I128" s="7"/>
      <c r="J128" s="7"/>
      <c r="K128" s="7"/>
    </row>
    <row r="129" spans="1:11" ht="15.75" hidden="1" customHeight="1" outlineLevel="1" x14ac:dyDescent="0.25">
      <c r="A129" s="7"/>
      <c r="B129" s="7"/>
      <c r="C129" s="7"/>
      <c r="D129" s="7"/>
      <c r="E129" s="7"/>
      <c r="F129" s="25"/>
      <c r="I129" s="7"/>
      <c r="J129" s="7"/>
      <c r="K129" s="7"/>
    </row>
    <row r="130" spans="1:11" ht="15.75" hidden="1" customHeight="1" outlineLevel="1" x14ac:dyDescent="0.25">
      <c r="A130" s="7"/>
      <c r="B130" s="7"/>
      <c r="C130" s="7"/>
      <c r="D130" s="7"/>
      <c r="E130" s="7"/>
      <c r="F130" s="25"/>
      <c r="I130" s="7"/>
      <c r="J130" s="7"/>
      <c r="K130" s="7"/>
    </row>
    <row r="131" spans="1:11" ht="15.75" hidden="1" customHeight="1" outlineLevel="1" x14ac:dyDescent="0.25">
      <c r="A131" s="7"/>
      <c r="B131" s="7"/>
      <c r="C131" s="7"/>
      <c r="D131" s="7"/>
      <c r="E131" s="7"/>
      <c r="F131" s="25"/>
      <c r="I131" s="7"/>
      <c r="J131" s="7"/>
      <c r="K131" s="7"/>
    </row>
    <row r="132" spans="1:11" ht="15.75" hidden="1" customHeight="1" outlineLevel="1" x14ac:dyDescent="0.25">
      <c r="A132" s="7"/>
      <c r="B132" s="7"/>
      <c r="C132" s="7"/>
      <c r="D132" s="7"/>
      <c r="E132" s="7"/>
      <c r="F132" s="104"/>
      <c r="I132" s="7"/>
      <c r="J132" s="7"/>
      <c r="K132" s="7"/>
    </row>
    <row r="133" spans="1:11" ht="15.75" hidden="1" customHeight="1" outlineLevel="1" x14ac:dyDescent="0.25">
      <c r="A133" s="7"/>
      <c r="B133" s="7"/>
      <c r="C133" s="7"/>
      <c r="D133" s="7"/>
      <c r="E133" s="7"/>
      <c r="F133" s="25"/>
      <c r="I133" s="7"/>
      <c r="J133" s="7"/>
      <c r="K133" s="7"/>
    </row>
    <row r="134" spans="1:11" ht="15.75" customHeight="1" outlineLevel="1" x14ac:dyDescent="0.25">
      <c r="A134" s="7"/>
      <c r="B134" s="7"/>
      <c r="C134" s="7"/>
      <c r="D134" s="7"/>
      <c r="E134" s="7"/>
      <c r="F134" s="25"/>
      <c r="I134" s="7"/>
      <c r="J134" s="7"/>
      <c r="K134" s="7"/>
    </row>
    <row r="135" spans="1:11" ht="15.75" customHeight="1" outlineLevel="1" x14ac:dyDescent="0.25">
      <c r="A135" s="7"/>
      <c r="B135" s="7"/>
      <c r="C135" s="7"/>
      <c r="D135" s="7"/>
      <c r="E135" s="7"/>
      <c r="F135" s="25"/>
      <c r="I135" s="7"/>
      <c r="J135" s="7"/>
      <c r="K135" s="7"/>
    </row>
    <row r="136" spans="1:11" ht="15.75" customHeight="1" outlineLevel="1" x14ac:dyDescent="0.25">
      <c r="A136" s="7"/>
      <c r="B136" s="7"/>
      <c r="C136" s="7"/>
      <c r="D136" s="7"/>
      <c r="E136" s="7"/>
      <c r="F136" s="25"/>
      <c r="I136" s="7"/>
      <c r="J136" s="7"/>
      <c r="K136" s="7"/>
    </row>
    <row r="137" spans="1:11" ht="15.75" customHeight="1" outlineLevel="1" x14ac:dyDescent="0.25">
      <c r="A137" s="7"/>
      <c r="B137" s="7"/>
      <c r="C137" s="7"/>
      <c r="D137" s="7"/>
      <c r="E137" s="7"/>
      <c r="F137" s="25"/>
      <c r="I137" s="7"/>
      <c r="J137" s="7"/>
      <c r="K137" s="7"/>
    </row>
    <row r="138" spans="1:11" ht="15.75" customHeight="1" outlineLevel="1" x14ac:dyDescent="0.25">
      <c r="A138" s="7"/>
      <c r="B138" s="7"/>
      <c r="C138" s="7"/>
      <c r="D138" s="7"/>
      <c r="E138" s="7"/>
      <c r="F138" s="104"/>
      <c r="I138" s="7"/>
      <c r="J138" s="7"/>
      <c r="K138" s="7"/>
    </row>
    <row r="139" spans="1:11" ht="15.75" customHeight="1" x14ac:dyDescent="0.25">
      <c r="A139" s="7"/>
      <c r="B139" s="7"/>
      <c r="C139" s="7"/>
      <c r="D139" s="7"/>
      <c r="E139" s="7"/>
      <c r="F139" s="104"/>
      <c r="I139" s="7"/>
      <c r="J139" s="7"/>
      <c r="K139" s="7"/>
    </row>
    <row r="140" spans="1:11" ht="15.75" hidden="1" customHeight="1" outlineLevel="1" x14ac:dyDescent="0.25">
      <c r="A140" s="7"/>
      <c r="B140" s="7"/>
      <c r="C140" s="7"/>
      <c r="D140" s="7"/>
      <c r="E140" s="7"/>
      <c r="F140" s="25"/>
      <c r="I140" s="7"/>
      <c r="J140" s="7"/>
      <c r="K140" s="7"/>
    </row>
    <row r="141" spans="1:11" ht="15.75" hidden="1" customHeight="1" outlineLevel="1" x14ac:dyDescent="0.25">
      <c r="A141" s="7"/>
      <c r="B141" s="7"/>
      <c r="C141" s="7"/>
      <c r="D141" s="7"/>
      <c r="E141" s="7"/>
      <c r="F141" s="25"/>
      <c r="I141" s="7"/>
      <c r="J141" s="7"/>
      <c r="K141" s="7"/>
    </row>
    <row r="142" spans="1:11" ht="15.75" hidden="1" customHeight="1" outlineLevel="1" x14ac:dyDescent="0.25">
      <c r="A142" s="7"/>
      <c r="B142" s="7"/>
      <c r="C142" s="7"/>
      <c r="D142" s="7"/>
      <c r="E142" s="7"/>
      <c r="F142" s="25"/>
      <c r="I142" s="7"/>
      <c r="J142" s="7"/>
      <c r="K142" s="7"/>
    </row>
    <row r="143" spans="1:11" ht="15.75" hidden="1" customHeight="1" outlineLevel="1" x14ac:dyDescent="0.25">
      <c r="A143" s="7"/>
      <c r="B143" s="7"/>
      <c r="C143" s="7"/>
      <c r="D143" s="7"/>
      <c r="E143" s="7"/>
      <c r="F143" s="25"/>
      <c r="I143" s="7"/>
      <c r="J143" s="7"/>
      <c r="K143" s="7"/>
    </row>
    <row r="144" spans="1:11" ht="15.75" hidden="1" customHeight="1" outlineLevel="1" x14ac:dyDescent="0.25">
      <c r="A144" s="7"/>
      <c r="B144" s="7"/>
      <c r="C144" s="7"/>
      <c r="D144" s="7"/>
      <c r="E144" s="7"/>
      <c r="F144" s="25"/>
      <c r="I144" s="7"/>
      <c r="J144" s="7"/>
      <c r="K144" s="7"/>
    </row>
    <row r="145" spans="1:11" ht="15.75" hidden="1" customHeight="1" outlineLevel="1" x14ac:dyDescent="0.25">
      <c r="A145" s="7"/>
      <c r="B145" s="7"/>
      <c r="C145" s="7"/>
      <c r="D145" s="7"/>
      <c r="E145" s="7"/>
      <c r="F145" s="25"/>
      <c r="I145" s="7"/>
      <c r="J145" s="7"/>
      <c r="K145" s="7"/>
    </row>
    <row r="146" spans="1:11" ht="15.75" hidden="1" customHeight="1" outlineLevel="1" x14ac:dyDescent="0.25">
      <c r="A146" s="7"/>
      <c r="B146" s="7"/>
      <c r="C146" s="7"/>
      <c r="D146" s="7"/>
      <c r="E146" s="7"/>
      <c r="F146" s="25"/>
      <c r="I146" s="7"/>
      <c r="J146" s="7"/>
      <c r="K146" s="7"/>
    </row>
    <row r="147" spans="1:11" ht="15.75" hidden="1" customHeight="1" outlineLevel="1" x14ac:dyDescent="0.25">
      <c r="A147" s="7"/>
      <c r="B147" s="7"/>
      <c r="C147" s="7"/>
      <c r="D147" s="7"/>
      <c r="E147" s="7"/>
      <c r="F147" s="25"/>
      <c r="I147" s="7"/>
      <c r="J147" s="7"/>
      <c r="K147" s="7"/>
    </row>
    <row r="148" spans="1:11" ht="15.75" customHeight="1" collapsed="1" x14ac:dyDescent="0.25">
      <c r="A148" s="7"/>
      <c r="B148" s="7"/>
      <c r="C148" s="7"/>
      <c r="D148" s="7"/>
      <c r="E148" s="7"/>
      <c r="F148" s="104"/>
      <c r="I148" s="7"/>
      <c r="J148" s="7"/>
      <c r="K148" s="7"/>
    </row>
    <row r="149" spans="1:11" ht="15.75" customHeight="1" x14ac:dyDescent="0.25"/>
    <row r="150" spans="1:11" ht="15.75" customHeight="1" x14ac:dyDescent="0.25"/>
    <row r="151" spans="1:11" ht="15.75" customHeight="1" x14ac:dyDescent="0.25"/>
    <row r="152" spans="1:11" ht="15.75" customHeight="1" x14ac:dyDescent="0.25"/>
    <row r="153" spans="1:11" ht="15.75" customHeight="1" x14ac:dyDescent="0.25"/>
    <row r="154" spans="1:11" ht="15.75" customHeight="1" x14ac:dyDescent="0.25"/>
    <row r="155" spans="1:11" ht="15.75" customHeight="1" x14ac:dyDescent="0.25"/>
    <row r="156" spans="1:11" ht="15.75" customHeight="1" x14ac:dyDescent="0.25"/>
    <row r="157" spans="1:11" ht="15.75" customHeight="1" x14ac:dyDescent="0.25"/>
    <row r="158" spans="1:11" ht="15.75" customHeight="1" x14ac:dyDescent="0.25"/>
    <row r="159" spans="1:11" ht="15.75" customHeight="1" x14ac:dyDescent="0.25"/>
    <row r="160" spans="1:11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F148" xr:uid="{00000000-0009-0000-0000-000001000000}"/>
  <mergeCells count="1">
    <mergeCell ref="I1:K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G13" sqref="G13"/>
    </sheetView>
  </sheetViews>
  <sheetFormatPr defaultColWidth="14.42578125" defaultRowHeight="15" customHeight="1" x14ac:dyDescent="0.25"/>
  <cols>
    <col min="1" max="1" width="8.7109375" customWidth="1"/>
    <col min="2" max="2" width="32.42578125" customWidth="1"/>
    <col min="3" max="3" width="35.5703125" customWidth="1"/>
    <col min="4" max="6" width="8.7109375" customWidth="1"/>
    <col min="7" max="7" width="28" customWidth="1"/>
    <col min="8" max="8" width="12.42578125" customWidth="1"/>
    <col min="9" max="26" width="8.7109375" customWidth="1"/>
  </cols>
  <sheetData>
    <row r="1" spans="1:8" x14ac:dyDescent="0.25">
      <c r="A1" s="26"/>
      <c r="B1" s="27" t="s">
        <v>29</v>
      </c>
      <c r="C1" s="111" t="s">
        <v>123</v>
      </c>
      <c r="D1" s="28"/>
      <c r="E1" s="29"/>
      <c r="F1" s="27" t="s">
        <v>30</v>
      </c>
      <c r="G1" s="30">
        <v>1</v>
      </c>
      <c r="H1" s="31"/>
    </row>
    <row r="2" spans="1:8" x14ac:dyDescent="0.25">
      <c r="A2" s="78"/>
      <c r="B2" s="80" t="s">
        <v>31</v>
      </c>
      <c r="C2" s="112" t="s">
        <v>220</v>
      </c>
      <c r="D2" s="32"/>
      <c r="E2" s="33"/>
      <c r="F2" s="34" t="s">
        <v>32</v>
      </c>
      <c r="G2" s="119" t="s">
        <v>227</v>
      </c>
      <c r="H2" s="35"/>
    </row>
    <row r="3" spans="1:8" x14ac:dyDescent="0.25">
      <c r="A3" s="79"/>
      <c r="B3" s="81"/>
      <c r="C3" s="74"/>
      <c r="D3" s="32"/>
      <c r="E3" s="33"/>
      <c r="F3" s="34" t="s">
        <v>33</v>
      </c>
      <c r="G3" s="36">
        <v>1</v>
      </c>
      <c r="H3" s="35"/>
    </row>
    <row r="4" spans="1:8" x14ac:dyDescent="0.25">
      <c r="A4" s="37"/>
      <c r="B4" s="27" t="s">
        <v>34</v>
      </c>
      <c r="C4" s="113" t="s">
        <v>95</v>
      </c>
      <c r="D4" s="28"/>
      <c r="E4" s="29"/>
      <c r="F4" s="27" t="s">
        <v>35</v>
      </c>
      <c r="G4" s="38">
        <v>46168</v>
      </c>
      <c r="H4" s="31"/>
    </row>
    <row r="5" spans="1:8" x14ac:dyDescent="0.25">
      <c r="A5" s="39"/>
      <c r="B5" s="40"/>
      <c r="C5" s="40"/>
      <c r="D5" s="41"/>
      <c r="E5" s="41"/>
      <c r="F5" s="41"/>
      <c r="G5" s="40"/>
      <c r="H5" s="40"/>
    </row>
    <row r="6" spans="1:8" x14ac:dyDescent="0.25">
      <c r="A6" s="37"/>
      <c r="B6" s="27" t="s">
        <v>36</v>
      </c>
      <c r="C6" s="114" t="s">
        <v>221</v>
      </c>
      <c r="D6" s="43"/>
      <c r="E6" s="44"/>
      <c r="F6" s="44"/>
      <c r="G6" s="44"/>
      <c r="H6" s="42"/>
    </row>
    <row r="7" spans="1:8" x14ac:dyDescent="0.25">
      <c r="A7" s="39"/>
      <c r="B7" s="45"/>
      <c r="C7" s="45"/>
      <c r="D7" s="46"/>
      <c r="H7" s="40"/>
    </row>
    <row r="8" spans="1:8" x14ac:dyDescent="0.25">
      <c r="A8" s="39"/>
      <c r="B8" s="40"/>
      <c r="C8" s="40"/>
      <c r="D8" s="41"/>
      <c r="H8" s="40"/>
    </row>
    <row r="9" spans="1:8" x14ac:dyDescent="0.25">
      <c r="A9" s="39"/>
      <c r="B9" s="40"/>
      <c r="C9" s="40"/>
      <c r="D9" s="41"/>
      <c r="E9" s="41"/>
      <c r="F9" s="41"/>
      <c r="G9" s="40"/>
      <c r="H9" s="40"/>
    </row>
    <row r="10" spans="1:8" x14ac:dyDescent="0.25">
      <c r="A10" s="47">
        <f>COUNTA(A12:A27)</f>
        <v>7</v>
      </c>
      <c r="B10" s="48" t="s">
        <v>37</v>
      </c>
      <c r="C10" s="49" t="s">
        <v>38</v>
      </c>
      <c r="D10" s="50">
        <f t="shared" ref="D10:F10" si="0">COUNTIF(D12:D27,"x")</f>
        <v>6</v>
      </c>
      <c r="E10" s="50">
        <f t="shared" si="0"/>
        <v>1</v>
      </c>
      <c r="F10" s="50">
        <f t="shared" si="0"/>
        <v>0</v>
      </c>
      <c r="G10" s="51" t="s">
        <v>39</v>
      </c>
      <c r="H10" s="52">
        <f>(D10+E10+F10)/A10</f>
        <v>1</v>
      </c>
    </row>
    <row r="11" spans="1:8" ht="24.75" x14ac:dyDescent="0.25">
      <c r="A11" s="53" t="s">
        <v>40</v>
      </c>
      <c r="B11" s="54" t="s">
        <v>41</v>
      </c>
      <c r="C11" s="54" t="s">
        <v>42</v>
      </c>
      <c r="D11" s="55" t="s">
        <v>43</v>
      </c>
      <c r="E11" s="55" t="s">
        <v>44</v>
      </c>
      <c r="F11" s="55" t="s">
        <v>45</v>
      </c>
      <c r="G11" s="56" t="s">
        <v>46</v>
      </c>
      <c r="H11" s="57" t="s">
        <v>47</v>
      </c>
    </row>
    <row r="12" spans="1:8" x14ac:dyDescent="0.25">
      <c r="A12" s="58">
        <v>1</v>
      </c>
      <c r="B12" s="107" t="s">
        <v>122</v>
      </c>
      <c r="C12" s="99" t="s">
        <v>156</v>
      </c>
      <c r="D12" s="59" t="s">
        <v>48</v>
      </c>
      <c r="E12" s="59"/>
      <c r="F12" s="59"/>
      <c r="G12" s="115" t="s">
        <v>222</v>
      </c>
      <c r="H12" s="60"/>
    </row>
    <row r="13" spans="1:8" x14ac:dyDescent="0.25">
      <c r="A13" s="61">
        <f t="shared" ref="A13:A18" si="1">A12 + 1</f>
        <v>2</v>
      </c>
      <c r="B13" s="99" t="s">
        <v>129</v>
      </c>
      <c r="C13" s="99" t="s">
        <v>157</v>
      </c>
      <c r="D13" s="59"/>
      <c r="E13" s="59" t="s">
        <v>48</v>
      </c>
      <c r="F13" s="62"/>
      <c r="G13" s="116" t="s">
        <v>223</v>
      </c>
      <c r="H13" s="63">
        <v>1</v>
      </c>
    </row>
    <row r="14" spans="1:8" x14ac:dyDescent="0.25">
      <c r="A14" s="61">
        <f t="shared" si="1"/>
        <v>3</v>
      </c>
      <c r="B14" s="107" t="s">
        <v>130</v>
      </c>
      <c r="C14" s="99" t="s">
        <v>158</v>
      </c>
      <c r="D14" s="59" t="s">
        <v>48</v>
      </c>
      <c r="E14" s="62"/>
      <c r="F14" s="62"/>
      <c r="G14" s="115" t="s">
        <v>222</v>
      </c>
      <c r="H14" s="63"/>
    </row>
    <row r="15" spans="1:8" ht="15" customHeight="1" x14ac:dyDescent="0.25">
      <c r="A15" s="61">
        <f t="shared" si="1"/>
        <v>4</v>
      </c>
      <c r="B15" s="107" t="s">
        <v>224</v>
      </c>
      <c r="C15" s="107" t="s">
        <v>160</v>
      </c>
      <c r="D15" s="59" t="s">
        <v>48</v>
      </c>
      <c r="E15" s="62"/>
      <c r="F15" s="62"/>
      <c r="G15" s="115" t="s">
        <v>225</v>
      </c>
      <c r="H15" s="63"/>
    </row>
    <row r="16" spans="1:8" x14ac:dyDescent="0.25">
      <c r="A16" s="61">
        <f t="shared" si="1"/>
        <v>5</v>
      </c>
      <c r="B16" s="99" t="s">
        <v>216</v>
      </c>
      <c r="C16" s="107" t="s">
        <v>159</v>
      </c>
      <c r="D16" s="59" t="s">
        <v>48</v>
      </c>
      <c r="E16" s="62"/>
      <c r="F16" s="62"/>
      <c r="G16" s="115" t="s">
        <v>222</v>
      </c>
      <c r="H16" s="63"/>
    </row>
    <row r="17" spans="1:8" x14ac:dyDescent="0.25">
      <c r="A17" s="61">
        <f t="shared" si="1"/>
        <v>6</v>
      </c>
      <c r="B17" s="107" t="s">
        <v>131</v>
      </c>
      <c r="C17" s="99" t="s">
        <v>161</v>
      </c>
      <c r="D17" s="59" t="s">
        <v>48</v>
      </c>
      <c r="E17" s="62"/>
      <c r="F17" s="62"/>
      <c r="G17" s="117" t="s">
        <v>161</v>
      </c>
      <c r="H17" s="63"/>
    </row>
    <row r="18" spans="1:8" x14ac:dyDescent="0.25">
      <c r="A18" s="61">
        <f t="shared" si="1"/>
        <v>7</v>
      </c>
      <c r="B18" s="107" t="s">
        <v>132</v>
      </c>
      <c r="C18" s="107" t="s">
        <v>162</v>
      </c>
      <c r="D18" s="59" t="s">
        <v>48</v>
      </c>
      <c r="E18" s="62"/>
      <c r="F18" s="62"/>
      <c r="G18" s="118" t="s">
        <v>226</v>
      </c>
      <c r="H18" s="63"/>
    </row>
    <row r="19" spans="1:8" x14ac:dyDescent="0.25">
      <c r="C19" s="92"/>
    </row>
    <row r="20" spans="1:8" x14ac:dyDescent="0.25">
      <c r="C20" s="92"/>
    </row>
    <row r="21" spans="1:8" ht="15.75" customHeight="1" x14ac:dyDescent="0.25">
      <c r="C21" s="92"/>
    </row>
    <row r="22" spans="1:8" ht="15.75" customHeight="1" x14ac:dyDescent="0.25">
      <c r="C22" s="92"/>
    </row>
    <row r="23" spans="1:8" ht="15.75" customHeight="1" x14ac:dyDescent="0.25">
      <c r="C23" s="92"/>
    </row>
    <row r="24" spans="1:8" ht="15.75" customHeight="1" x14ac:dyDescent="0.25">
      <c r="C24" s="92"/>
    </row>
    <row r="25" spans="1:8" ht="15.75" customHeight="1" x14ac:dyDescent="0.25">
      <c r="C25" s="92"/>
    </row>
    <row r="26" spans="1:8" ht="15.75" customHeight="1" x14ac:dyDescent="0.25">
      <c r="C26" s="92"/>
    </row>
    <row r="27" spans="1:8" ht="15.75" customHeight="1" x14ac:dyDescent="0.25">
      <c r="C27" s="92"/>
    </row>
    <row r="28" spans="1:8" ht="15.75" customHeight="1" x14ac:dyDescent="0.25">
      <c r="C28" s="92"/>
    </row>
    <row r="29" spans="1:8" ht="15.75" customHeight="1" x14ac:dyDescent="0.25">
      <c r="C29" s="92"/>
    </row>
    <row r="30" spans="1:8" ht="15.75" customHeight="1" x14ac:dyDescent="0.25">
      <c r="C30" s="92"/>
    </row>
    <row r="31" spans="1:8" ht="15.75" customHeight="1" x14ac:dyDescent="0.25">
      <c r="C31" s="92"/>
    </row>
    <row r="32" spans="1:8" ht="15.75" customHeight="1" x14ac:dyDescent="0.25">
      <c r="C32" s="92"/>
    </row>
    <row r="33" spans="3:3" ht="15.75" customHeight="1" x14ac:dyDescent="0.25">
      <c r="C33" s="92"/>
    </row>
    <row r="34" spans="3:3" ht="15.75" customHeight="1" x14ac:dyDescent="0.25">
      <c r="C34" s="92"/>
    </row>
    <row r="35" spans="3:3" ht="15.75" customHeight="1" x14ac:dyDescent="0.25"/>
    <row r="36" spans="3:3" ht="15.75" customHeight="1" x14ac:dyDescent="0.25"/>
    <row r="37" spans="3:3" ht="15.75" customHeight="1" x14ac:dyDescent="0.25"/>
    <row r="38" spans="3:3" ht="15.75" customHeight="1" x14ac:dyDescent="0.25"/>
    <row r="39" spans="3:3" ht="15.75" customHeight="1" x14ac:dyDescent="0.25"/>
    <row r="40" spans="3:3" ht="15.75" customHeight="1" x14ac:dyDescent="0.25"/>
    <row r="41" spans="3:3" ht="15.75" customHeight="1" x14ac:dyDescent="0.25"/>
    <row r="42" spans="3:3" ht="15.75" customHeight="1" x14ac:dyDescent="0.25"/>
    <row r="43" spans="3:3" ht="15.75" customHeight="1" x14ac:dyDescent="0.25"/>
    <row r="44" spans="3:3" ht="15.75" customHeight="1" x14ac:dyDescent="0.25"/>
    <row r="45" spans="3:3" ht="15.75" customHeight="1" x14ac:dyDescent="0.25"/>
    <row r="46" spans="3:3" ht="15.75" customHeight="1" x14ac:dyDescent="0.25"/>
    <row r="47" spans="3:3" ht="15.75" customHeight="1" x14ac:dyDescent="0.25"/>
    <row r="48" spans="3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C7" sqref="C7"/>
    </sheetView>
  </sheetViews>
  <sheetFormatPr defaultColWidth="14.42578125" defaultRowHeight="15" customHeight="1" x14ac:dyDescent="0.25"/>
  <cols>
    <col min="1" max="1" width="8.7109375" customWidth="1"/>
    <col min="2" max="2" width="32.42578125" customWidth="1"/>
    <col min="3" max="3" width="35.5703125" customWidth="1"/>
    <col min="4" max="6" width="8.7109375" customWidth="1"/>
    <col min="7" max="7" width="28" customWidth="1"/>
    <col min="8" max="8" width="12.42578125" customWidth="1"/>
    <col min="9" max="26" width="8.7109375" customWidth="1"/>
  </cols>
  <sheetData>
    <row r="1" spans="1:8" x14ac:dyDescent="0.25">
      <c r="A1" s="26"/>
      <c r="B1" s="27" t="s">
        <v>29</v>
      </c>
      <c r="C1" s="111" t="s">
        <v>127</v>
      </c>
      <c r="D1" s="28"/>
      <c r="E1" s="29"/>
      <c r="F1" s="27" t="s">
        <v>30</v>
      </c>
      <c r="G1" s="30">
        <v>2</v>
      </c>
      <c r="H1" s="31"/>
    </row>
    <row r="2" spans="1:8" ht="20.25" customHeight="1" x14ac:dyDescent="0.25">
      <c r="A2" s="78"/>
      <c r="B2" s="80" t="s">
        <v>31</v>
      </c>
      <c r="C2" s="112" t="s">
        <v>229</v>
      </c>
      <c r="D2" s="32"/>
      <c r="E2" s="33"/>
      <c r="F2" s="34" t="s">
        <v>32</v>
      </c>
      <c r="G2" s="119" t="s">
        <v>227</v>
      </c>
      <c r="H2" s="35"/>
    </row>
    <row r="3" spans="1:8" ht="20.25" customHeight="1" x14ac:dyDescent="0.25">
      <c r="A3" s="79"/>
      <c r="B3" s="81"/>
      <c r="C3" s="74"/>
      <c r="D3" s="32"/>
      <c r="E3" s="33"/>
      <c r="F3" s="34" t="s">
        <v>33</v>
      </c>
      <c r="G3" s="36"/>
      <c r="H3" s="35"/>
    </row>
    <row r="4" spans="1:8" x14ac:dyDescent="0.25">
      <c r="A4" s="37"/>
      <c r="B4" s="27" t="s">
        <v>34</v>
      </c>
      <c r="C4" s="113" t="s">
        <v>95</v>
      </c>
      <c r="D4" s="28"/>
      <c r="E4" s="29"/>
      <c r="F4" s="27" t="s">
        <v>35</v>
      </c>
      <c r="G4" s="38">
        <v>46168</v>
      </c>
      <c r="H4" s="31"/>
    </row>
    <row r="5" spans="1:8" x14ac:dyDescent="0.25">
      <c r="A5" s="39"/>
      <c r="B5" s="40"/>
      <c r="C5" s="40"/>
      <c r="D5" s="41"/>
      <c r="E5" s="41"/>
      <c r="F5" s="41"/>
      <c r="G5" s="40"/>
      <c r="H5" s="40"/>
    </row>
    <row r="6" spans="1:8" x14ac:dyDescent="0.25">
      <c r="A6" s="37"/>
      <c r="B6" s="27" t="s">
        <v>36</v>
      </c>
      <c r="C6" s="114" t="s">
        <v>235</v>
      </c>
      <c r="D6" s="43"/>
      <c r="E6" s="44"/>
      <c r="F6" s="44"/>
      <c r="G6" s="44"/>
      <c r="H6" s="42"/>
    </row>
    <row r="7" spans="1:8" x14ac:dyDescent="0.25">
      <c r="A7" s="39"/>
      <c r="B7" s="45"/>
      <c r="C7" s="45"/>
      <c r="D7" s="46"/>
      <c r="H7" s="40"/>
    </row>
    <row r="8" spans="1:8" x14ac:dyDescent="0.25">
      <c r="A8" s="39"/>
      <c r="B8" s="40"/>
      <c r="C8" s="40"/>
      <c r="D8" s="41"/>
      <c r="H8" s="40"/>
    </row>
    <row r="9" spans="1:8" x14ac:dyDescent="0.25">
      <c r="A9" s="39"/>
      <c r="B9" s="40"/>
      <c r="C9" s="40"/>
      <c r="D9" s="41"/>
      <c r="E9" s="41"/>
      <c r="F9" s="41"/>
      <c r="G9" s="40"/>
      <c r="H9" s="40"/>
    </row>
    <row r="10" spans="1:8" x14ac:dyDescent="0.25">
      <c r="A10" s="47">
        <f>COUNTA(A12:A28)</f>
        <v>7</v>
      </c>
      <c r="B10" s="48" t="s">
        <v>37</v>
      </c>
      <c r="C10" s="49" t="s">
        <v>38</v>
      </c>
      <c r="D10" s="50">
        <f t="shared" ref="D10:F10" si="0">COUNTIF(D12:D28,"x")</f>
        <v>7</v>
      </c>
      <c r="E10" s="50">
        <f t="shared" si="0"/>
        <v>0</v>
      </c>
      <c r="F10" s="50">
        <f t="shared" si="0"/>
        <v>0</v>
      </c>
      <c r="G10" s="51" t="s">
        <v>39</v>
      </c>
      <c r="H10" s="52">
        <f>(D10+E10+F10)/A10</f>
        <v>1</v>
      </c>
    </row>
    <row r="11" spans="1:8" ht="24.75" x14ac:dyDescent="0.25">
      <c r="A11" s="53" t="s">
        <v>40</v>
      </c>
      <c r="B11" s="54" t="s">
        <v>41</v>
      </c>
      <c r="C11" s="54" t="s">
        <v>42</v>
      </c>
      <c r="D11" s="55" t="s">
        <v>43</v>
      </c>
      <c r="E11" s="55" t="s">
        <v>44</v>
      </c>
      <c r="F11" s="55" t="s">
        <v>45</v>
      </c>
      <c r="G11" s="56" t="s">
        <v>46</v>
      </c>
      <c r="H11" s="57" t="s">
        <v>47</v>
      </c>
    </row>
    <row r="12" spans="1:8" x14ac:dyDescent="0.25">
      <c r="A12" s="58">
        <v>1</v>
      </c>
      <c r="B12" s="107" t="s">
        <v>100</v>
      </c>
      <c r="C12" s="99" t="s">
        <v>145</v>
      </c>
      <c r="D12" s="59" t="s">
        <v>48</v>
      </c>
      <c r="E12" s="59"/>
      <c r="F12" s="59"/>
      <c r="G12" s="115" t="s">
        <v>230</v>
      </c>
      <c r="H12" s="60"/>
    </row>
    <row r="13" spans="1:8" x14ac:dyDescent="0.25">
      <c r="A13" s="61">
        <f>A12 + 1</f>
        <v>2</v>
      </c>
      <c r="B13" s="107" t="s">
        <v>101</v>
      </c>
      <c r="C13" s="99" t="s">
        <v>146</v>
      </c>
      <c r="D13" s="59" t="s">
        <v>48</v>
      </c>
      <c r="E13" s="62"/>
      <c r="F13" s="62"/>
      <c r="G13" s="121" t="s">
        <v>231</v>
      </c>
      <c r="H13" s="63"/>
    </row>
    <row r="14" spans="1:8" x14ac:dyDescent="0.25">
      <c r="A14" s="61">
        <v>3</v>
      </c>
      <c r="B14" s="107" t="s">
        <v>102</v>
      </c>
      <c r="C14" s="99" t="s">
        <v>138</v>
      </c>
      <c r="D14" s="59" t="s">
        <v>48</v>
      </c>
      <c r="E14" s="62"/>
      <c r="F14" s="62"/>
      <c r="G14" s="118" t="s">
        <v>232</v>
      </c>
      <c r="H14" s="63"/>
    </row>
    <row r="15" spans="1:8" ht="25.5" x14ac:dyDescent="0.25">
      <c r="A15" s="61">
        <v>4</v>
      </c>
      <c r="B15" s="107" t="s">
        <v>103</v>
      </c>
      <c r="C15" s="99" t="s">
        <v>139</v>
      </c>
      <c r="D15" s="59" t="s">
        <v>48</v>
      </c>
      <c r="E15" s="62"/>
      <c r="F15" s="62"/>
      <c r="G15" s="118" t="s">
        <v>233</v>
      </c>
      <c r="H15" s="63"/>
    </row>
    <row r="16" spans="1:8" ht="15" customHeight="1" x14ac:dyDescent="0.25">
      <c r="A16" s="61">
        <v>5</v>
      </c>
      <c r="B16" s="107" t="s">
        <v>104</v>
      </c>
      <c r="C16" s="99" t="s">
        <v>140</v>
      </c>
      <c r="D16" s="59" t="s">
        <v>48</v>
      </c>
      <c r="E16" s="62"/>
      <c r="F16" s="62"/>
      <c r="G16" s="118" t="s">
        <v>234</v>
      </c>
      <c r="H16" s="63"/>
    </row>
    <row r="17" spans="1:8" ht="15" customHeight="1" x14ac:dyDescent="0.25">
      <c r="A17" s="61">
        <v>6</v>
      </c>
      <c r="B17" s="107" t="s">
        <v>105</v>
      </c>
      <c r="C17" s="99" t="s">
        <v>140</v>
      </c>
      <c r="D17" s="59" t="s">
        <v>48</v>
      </c>
      <c r="E17" s="62"/>
      <c r="F17" s="62"/>
      <c r="G17" s="118" t="s">
        <v>234</v>
      </c>
      <c r="H17" s="63"/>
    </row>
    <row r="18" spans="1:8" ht="15" customHeight="1" x14ac:dyDescent="0.25">
      <c r="A18" s="61">
        <v>7</v>
      </c>
      <c r="B18" s="107" t="s">
        <v>106</v>
      </c>
      <c r="C18" s="99" t="s">
        <v>141</v>
      </c>
      <c r="D18" s="59" t="s">
        <v>48</v>
      </c>
      <c r="E18" s="62"/>
      <c r="F18" s="62"/>
      <c r="G18" s="118" t="s">
        <v>230</v>
      </c>
      <c r="H18" s="63"/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F17" sqref="F17"/>
    </sheetView>
  </sheetViews>
  <sheetFormatPr defaultColWidth="14.42578125" defaultRowHeight="15" customHeight="1" x14ac:dyDescent="0.25"/>
  <cols>
    <col min="1" max="26" width="25.42578125" customWidth="1"/>
  </cols>
  <sheetData>
    <row r="1" spans="1:4" x14ac:dyDescent="0.25">
      <c r="A1" s="64" t="s">
        <v>49</v>
      </c>
      <c r="B1" s="122" t="s">
        <v>129</v>
      </c>
      <c r="C1" s="83"/>
      <c r="D1" s="84"/>
    </row>
    <row r="2" spans="1:4" x14ac:dyDescent="0.25">
      <c r="A2" s="64" t="s">
        <v>47</v>
      </c>
      <c r="B2" s="65">
        <v>1</v>
      </c>
      <c r="C2" s="64" t="s">
        <v>50</v>
      </c>
      <c r="D2" s="66">
        <v>1</v>
      </c>
    </row>
    <row r="3" spans="1:4" x14ac:dyDescent="0.25">
      <c r="A3" s="64" t="s">
        <v>51</v>
      </c>
      <c r="B3" s="88" t="s">
        <v>236</v>
      </c>
      <c r="C3" s="64" t="s">
        <v>52</v>
      </c>
      <c r="D3" s="88" t="s">
        <v>123</v>
      </c>
    </row>
    <row r="4" spans="1:4" x14ac:dyDescent="0.25">
      <c r="A4" s="64" t="s">
        <v>53</v>
      </c>
      <c r="B4" s="88" t="s">
        <v>59</v>
      </c>
      <c r="C4" s="64" t="s">
        <v>54</v>
      </c>
      <c r="D4" s="7">
        <v>1</v>
      </c>
    </row>
    <row r="5" spans="1:4" x14ac:dyDescent="0.25">
      <c r="A5" s="64" t="s">
        <v>55</v>
      </c>
      <c r="B5" s="88" t="s">
        <v>24</v>
      </c>
      <c r="C5" s="64" t="s">
        <v>56</v>
      </c>
      <c r="D5" s="7" t="s">
        <v>57</v>
      </c>
    </row>
    <row r="6" spans="1:4" x14ac:dyDescent="0.25">
      <c r="A6" s="67" t="s">
        <v>58</v>
      </c>
      <c r="B6" s="67" t="s">
        <v>27</v>
      </c>
      <c r="C6" s="7" t="s">
        <v>59</v>
      </c>
      <c r="D6" s="7"/>
    </row>
    <row r="7" spans="1:4" x14ac:dyDescent="0.25">
      <c r="A7" s="67" t="s">
        <v>26</v>
      </c>
      <c r="B7" s="67" t="s">
        <v>57</v>
      </c>
      <c r="C7" s="7" t="s">
        <v>60</v>
      </c>
      <c r="D7" s="7"/>
    </row>
    <row r="8" spans="1:4" x14ac:dyDescent="0.25">
      <c r="A8" s="67" t="s">
        <v>61</v>
      </c>
      <c r="B8" s="67" t="s">
        <v>62</v>
      </c>
      <c r="C8" s="7" t="s">
        <v>63</v>
      </c>
      <c r="D8" s="7"/>
    </row>
    <row r="9" spans="1:4" x14ac:dyDescent="0.25">
      <c r="A9" s="67" t="s">
        <v>25</v>
      </c>
      <c r="B9" s="7"/>
      <c r="C9" s="7" t="s">
        <v>64</v>
      </c>
      <c r="D9" s="7"/>
    </row>
    <row r="10" spans="1:4" x14ac:dyDescent="0.25">
      <c r="A10" s="67" t="s">
        <v>24</v>
      </c>
      <c r="B10" s="7"/>
      <c r="C10" s="7" t="s">
        <v>65</v>
      </c>
      <c r="D10" s="7"/>
    </row>
    <row r="11" spans="1:4" x14ac:dyDescent="0.25">
      <c r="A11" s="64" t="s">
        <v>66</v>
      </c>
      <c r="B11" s="88" t="s">
        <v>237</v>
      </c>
      <c r="C11" s="64" t="s">
        <v>67</v>
      </c>
      <c r="D11" s="88" t="s">
        <v>95</v>
      </c>
    </row>
    <row r="12" spans="1:4" ht="188.25" customHeight="1" x14ac:dyDescent="0.25">
      <c r="A12" s="68" t="s">
        <v>68</v>
      </c>
      <c r="B12" s="123" t="s">
        <v>238</v>
      </c>
      <c r="C12" s="83"/>
      <c r="D12" s="84"/>
    </row>
    <row r="13" spans="1:4" ht="145.5" customHeight="1" x14ac:dyDescent="0.25">
      <c r="A13" s="64" t="s">
        <v>69</v>
      </c>
      <c r="B13" s="82"/>
      <c r="C13" s="83"/>
      <c r="D13" s="8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1:D1"/>
    <mergeCell ref="B12:D12"/>
    <mergeCell ref="B13:D13"/>
  </mergeCells>
  <dataValidations count="3">
    <dataValidation type="list" allowBlank="1" showErrorMessage="1" sqref="B5" xr:uid="{00000000-0002-0000-0400-000000000000}">
      <formula1>$A$6:$A$10</formula1>
    </dataValidation>
    <dataValidation type="list" allowBlank="1" showErrorMessage="1" sqref="D5" xr:uid="{00000000-0002-0000-0400-000001000000}">
      <formula1>$B$6:$B$8</formula1>
    </dataValidation>
    <dataValidation type="list" allowBlank="1" showErrorMessage="1" sqref="B4" xr:uid="{00000000-0002-0000-0400-000002000000}">
      <formula1>$C$6:$C$10</formula1>
    </dataValidation>
  </dataValidation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2578125" defaultRowHeight="15" customHeight="1" x14ac:dyDescent="0.25"/>
  <cols>
    <col min="1" max="1" width="35.85546875" customWidth="1"/>
    <col min="2" max="2" width="11" customWidth="1"/>
    <col min="3" max="26" width="8.7109375" customWidth="1"/>
  </cols>
  <sheetData>
    <row r="1" spans="1:3" ht="15.75" x14ac:dyDescent="0.25">
      <c r="A1" s="69" t="s">
        <v>70</v>
      </c>
    </row>
    <row r="2" spans="1:3" x14ac:dyDescent="0.25">
      <c r="A2" t="s">
        <v>71</v>
      </c>
      <c r="B2" t="s">
        <v>72</v>
      </c>
    </row>
    <row r="3" spans="1:3" x14ac:dyDescent="0.25">
      <c r="A3" t="s">
        <v>73</v>
      </c>
      <c r="B3" s="70">
        <v>43581</v>
      </c>
    </row>
    <row r="4" spans="1:3" x14ac:dyDescent="0.25">
      <c r="A4" t="s">
        <v>74</v>
      </c>
    </row>
    <row r="7" spans="1:3" x14ac:dyDescent="0.25">
      <c r="A7" s="7" t="s">
        <v>75</v>
      </c>
      <c r="B7" s="7">
        <v>100</v>
      </c>
      <c r="C7" s="7"/>
    </row>
    <row r="8" spans="1:3" x14ac:dyDescent="0.25">
      <c r="A8" s="7" t="s">
        <v>76</v>
      </c>
      <c r="B8" s="7">
        <v>100</v>
      </c>
      <c r="C8" s="71">
        <v>1</v>
      </c>
    </row>
    <row r="9" spans="1:3" x14ac:dyDescent="0.25">
      <c r="A9" s="7" t="s">
        <v>77</v>
      </c>
      <c r="B9" s="7">
        <v>83</v>
      </c>
      <c r="C9" s="72">
        <v>0.83</v>
      </c>
    </row>
    <row r="10" spans="1:3" x14ac:dyDescent="0.25">
      <c r="A10" s="7" t="s">
        <v>78</v>
      </c>
      <c r="B10" s="7">
        <v>20</v>
      </c>
      <c r="C10" s="72">
        <v>0.2</v>
      </c>
    </row>
    <row r="12" spans="1:3" x14ac:dyDescent="0.25">
      <c r="A12" s="7" t="s">
        <v>79</v>
      </c>
      <c r="B12" s="7">
        <v>20</v>
      </c>
    </row>
    <row r="13" spans="1:3" x14ac:dyDescent="0.25">
      <c r="A13" s="7" t="s">
        <v>80</v>
      </c>
      <c r="B13" s="7">
        <v>10</v>
      </c>
    </row>
    <row r="14" spans="1:3" x14ac:dyDescent="0.25">
      <c r="A14" s="7" t="s">
        <v>81</v>
      </c>
      <c r="B14" s="7">
        <v>5</v>
      </c>
    </row>
    <row r="15" spans="1:3" x14ac:dyDescent="0.25">
      <c r="A15" s="7" t="s">
        <v>82</v>
      </c>
      <c r="B15" s="7"/>
    </row>
    <row r="16" spans="1:3" x14ac:dyDescent="0.25">
      <c r="A16" s="7" t="s">
        <v>83</v>
      </c>
      <c r="B16" s="7">
        <v>4</v>
      </c>
    </row>
    <row r="17" spans="1:2" x14ac:dyDescent="0.25">
      <c r="A17" s="7" t="s">
        <v>84</v>
      </c>
      <c r="B17" s="7">
        <v>1</v>
      </c>
    </row>
    <row r="20" spans="1:2" ht="15.75" x14ac:dyDescent="0.25">
      <c r="A20" s="69" t="s">
        <v>85</v>
      </c>
    </row>
    <row r="21" spans="1:2" ht="15.75" customHeight="1" x14ac:dyDescent="0.25">
      <c r="A21" t="s">
        <v>86</v>
      </c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Тест-план</vt:lpstr>
      <vt:lpstr>Чек-лист + Дефекты</vt:lpstr>
      <vt:lpstr>Тест-кейс 1</vt:lpstr>
      <vt:lpstr>Тест-кейс 2</vt:lpstr>
      <vt:lpstr>Дефект</vt:lpstr>
      <vt:lpstr>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Даша Прокуронова</dc:creator>
  <cp:lastModifiedBy>sarohighte197557@rambler.ru</cp:lastModifiedBy>
  <dcterms:created xsi:type="dcterms:W3CDTF">2006-09-28T05:33:49Z</dcterms:created>
  <dcterms:modified xsi:type="dcterms:W3CDTF">2026-05-27T02:50:04Z</dcterms:modified>
</cp:coreProperties>
</file>